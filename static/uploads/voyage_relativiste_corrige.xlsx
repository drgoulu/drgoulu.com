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yage_relativiste_corrig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<sst xmlns="http://schemas.openxmlformats.org/spreadsheetml/2006/main" count="11" uniqueCount="11">
  <si>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dt</t>
  </si>
  <si>
    <t xml:space="preserve">t'</t>
  </si>
  <si>
    <t xml:space="preserve">t</t>
  </si>
  <si>
    <t xml:space="preserve">t-t' (j)</t>
  </si>
  <si>
    <t xml:space="preserve">v' [km/s]</t>
  </si>
  <si>
    <t xml:space="preserve">v [km/s]</t>
  </si>
  <si>
    <t xml:space="preserve">v [%c]</t>
  </si>
  <si>
    <t xml:space="preserve">lorenz</t>
  </si>
  <si>
    <t xml:space="preserve">d (AL)</t>
  </si>
  <si>
    <t xml:space="preserve">masse [kg]</t>
  </si>
  <si>
    <t xml:space="preserve">carburant [kg]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</si>
</sst>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5.47"/>
    <col collapsed="false" customWidth="true" hidden="false" outlineLevel="0" max="3" min="3" style="0" width="16.73"/>
    <col collapsed="false" customWidth="true" hidden="false" outlineLevel="0" max="4" min="4" style="0" width="20.49"/>
    <col collapsed="false" customWidth="true" hidden="false" outlineLevel="0" max="5" min="5" style="0" width="11.86"/>
    <col collapsed="false" customWidth="true" hidden="false" outlineLevel="0" max="6" min="6" style="0" width="16.73"/>
    <col collapsed="false" customWidth="true" hidden="false" outlineLevel="0" max="7" min="7" style="0" width="19.66"/>
    <col collapsed="false" customWidth="true" hidden="false" outlineLevel="0" max="8" min="8" style="0" width="16.73"/>
    <col collapsed="false" customWidth="true" hidden="false" outlineLevel="0" max="9" min="9" style="0" width="20.49"/>
    <col collapsed="false" customWidth="true" hidden="false" outlineLevel="0" max="10" min="10" style="0" width="16.73"/>
    <col collapsed="false" customWidth="true" hidden="false" outlineLevel="0" max="11" min="11" style="0" width="18.68"/>
  </cols>
  <sheetData>
    <row r="1" customFormat="false" ht="12.8" hidden="false" customHeight="false" outlineLevel="0" collapsed="false">
      <c r="E1" s="0" t="n">
        <v>9.81</v>
      </c>
      <c r="G1" s="0" t="n">
        <v>300000</v>
      </c>
      <c r="I1" s="0" t="n">
        <v>9460800000000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</row>
    <row r="3" customFormat="false" ht="12.8" hidden="false" customHeight="false" outlineLevel="0" collapsed="false">
      <c r="B3" s="0" t="n">
        <v>0</v>
      </c>
      <c r="C3" s="0" t="n">
        <v>44604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1</v>
      </c>
      <c r="I3" s="0" t="n">
        <v>0</v>
      </c>
      <c r="J3" s="0" t="n">
        <v>1000</v>
      </c>
      <c r="K3" s="0" t="n">
        <v>0</v>
      </c>
    </row>
    <row r="4" customFormat="false" ht="12.8" hidden="false" customHeight="false" outlineLevel="0" collapsed="false">
      <c r="A4" s="0" t="n">
        <v>1</v>
      </c>
      <c r="B4" s="0" t="n">
        <f aca="false">B3+A4</f>
        <v>1</v>
      </c>
      <c r="C4" s="0" t="n">
        <f aca="false">$C$3+($G$1/($E$1*86.4))*SINH($E$1*B4*86.4/$G$1)</f>
        <v>44605.0000013304</v>
      </c>
      <c r="D4" s="0" t="n">
        <f aca="false">C4-$C$3-B4</f>
        <v>1.33036519400775E-006</v>
      </c>
      <c r="E4" s="0" t="n">
        <f aca="false">$E$1*B4*86.4</f>
        <v>847.584</v>
      </c>
      <c r="F4" s="0" t="n">
        <f aca="false">$G$1*G4</f>
        <v>847.581744810199</v>
      </c>
      <c r="G4" s="0" t="n">
        <f aca="false">TANH($E$1*B4*86.4/$G$1)</f>
        <v>0.00282527248270066</v>
      </c>
      <c r="H4" s="0" t="n">
        <f aca="false">COSH($E$1*B4*86.4/$G$1)</f>
        <v>1.00000399110619</v>
      </c>
      <c r="I4" s="0" t="n">
        <f aca="false">(($G$1^2*1000)/($E$1*$I$1))*(H4-1)</f>
        <v>3.87024914973056E-006</v>
      </c>
      <c r="J4" s="0" t="n">
        <f aca="false">$J$3*EXP(-$E$1*B4*86.4/$G$1)</f>
        <v>997.178707347531</v>
      </c>
      <c r="K4" s="0" t="n">
        <f aca="false">J3-J4</f>
        <v>2.82129265246908</v>
      </c>
    </row>
    <row r="5" customFormat="false" ht="12.8" hidden="false" customHeight="false" outlineLevel="0" collapsed="false">
      <c r="A5" s="0" t="n">
        <v>1</v>
      </c>
      <c r="B5" s="0" t="n">
        <f aca="false">B4+A5</f>
        <v>2</v>
      </c>
      <c r="C5" s="0" t="n">
        <f aca="false">$C$3+($G$1/($E$1*86.4))*SINH($E$1*B5*86.4/$G$1)</f>
        <v>44606.000010643</v>
      </c>
      <c r="D5" s="0" t="n">
        <f aca="false">C5-$C$3-B5</f>
        <v>1.06429579318501E-005</v>
      </c>
      <c r="E5" s="0" t="n">
        <f aca="false">$E$1*B5*86.4</f>
        <v>1695.168</v>
      </c>
      <c r="F5" s="0" t="n">
        <f aca="false">$G$1*G5</f>
        <v>1695.1499586544</v>
      </c>
      <c r="G5" s="0" t="n">
        <f aca="false">TANH($E$1*B5*86.4/$G$1)</f>
        <v>0.00565049986218135</v>
      </c>
      <c r="H5" s="0" t="n">
        <f aca="false">COSH($E$1*B5*86.4/$G$1)</f>
        <v>1.00001596445663</v>
      </c>
      <c r="I5" s="0" t="n">
        <f aca="false">(($G$1^2*1000)/($E$1*$I$1))*(H5-1)</f>
        <v>1.54810274922809E-005</v>
      </c>
      <c r="J5" s="0" t="n">
        <f aca="false">$J$3*EXP(-$E$1*B5*86.4/$G$1)</f>
        <v>994.365374387293</v>
      </c>
      <c r="K5" s="0" t="n">
        <f aca="false">J4-J5</f>
        <v>2.81333296023831</v>
      </c>
    </row>
    <row r="6" customFormat="false" ht="12.8" hidden="false" customHeight="false" outlineLevel="0" collapsed="false">
      <c r="A6" s="0" t="n">
        <v>1</v>
      </c>
      <c r="B6" s="0" t="n">
        <f aca="false">B5+A6</f>
        <v>3</v>
      </c>
      <c r="C6" s="0" t="n">
        <f aca="false">$C$3+($G$1/($E$1*86.4))*SINH($E$1*B6*86.4/$G$1)</f>
        <v>44607.0000359201</v>
      </c>
      <c r="D6" s="0" t="n">
        <f aca="false">C6-$C$3-B6</f>
        <v>3.59200639650226E-005</v>
      </c>
      <c r="E6" s="0" t="n">
        <f aca="false">$E$1*B6*86.4</f>
        <v>2542.752</v>
      </c>
      <c r="F6" s="0" t="n">
        <f aca="false">$G$1*G6</f>
        <v>2542.69111143065</v>
      </c>
      <c r="G6" s="0" t="n">
        <f aca="false">TANH($E$1*B6*86.4/$G$1)</f>
        <v>0.00847563703810217</v>
      </c>
      <c r="H6" s="0" t="n">
        <f aca="false">COSH($E$1*B6*86.4/$G$1)</f>
        <v>1.00003592014689</v>
      </c>
      <c r="I6" s="0" t="n">
        <f aca="false">(($G$1^2*1000)/($E$1*$I$1))*(H6-1)</f>
        <v>3.48324277070809E-005</v>
      </c>
      <c r="J6" s="0" t="n">
        <f aca="false">$J$3*EXP(-$E$1*B6*86.4/$G$1)</f>
        <v>991.559978662664</v>
      </c>
      <c r="K6" s="0" t="n">
        <f aca="false">J5-J6</f>
        <v>2.80539572462862</v>
      </c>
    </row>
    <row r="7" customFormat="false" ht="12.8" hidden="false" customHeight="false" outlineLevel="0" collapsed="false">
      <c r="A7" s="0" t="n">
        <v>1</v>
      </c>
      <c r="B7" s="0" t="n">
        <f aca="false">B6+A7</f>
        <v>4</v>
      </c>
      <c r="C7" s="0" t="n">
        <f aca="false">$C$3+($G$1/($E$1*86.4))*SINH($E$1*B7*86.4/$G$1)</f>
        <v>44608.0000851441</v>
      </c>
      <c r="D7" s="0" t="n">
        <f aca="false">C7-$C$3-B7</f>
        <v>8.51440854603425E-005</v>
      </c>
      <c r="E7" s="0" t="n">
        <f aca="false">$E$1*B7*86.4</f>
        <v>3390.336</v>
      </c>
      <c r="F7" s="0" t="n">
        <f aca="false">$G$1*G7</f>
        <v>3390.19167476492</v>
      </c>
      <c r="G7" s="0" t="n">
        <f aca="false">TANH($E$1*B7*86.4/$G$1)</f>
        <v>0.0113006389158831</v>
      </c>
      <c r="H7" s="0" t="n">
        <f aca="false">COSH($E$1*B7*86.4/$G$1)</f>
        <v>1.00006385833626</v>
      </c>
      <c r="I7" s="0" t="n">
        <f aca="false">(($G$1^2*1000)/($E$1*$I$1))*(H7-1)</f>
        <v>6.19246042613546E-005</v>
      </c>
      <c r="J7" s="0" t="n">
        <f aca="false">$J$3*EXP(-$E$1*B7*86.4/$G$1)</f>
        <v>988.762497780381</v>
      </c>
      <c r="K7" s="0" t="n">
        <f aca="false">J6-J7</f>
        <v>2.79748088228348</v>
      </c>
    </row>
    <row r="8" customFormat="false" ht="12.8" hidden="false" customHeight="false" outlineLevel="0" collapsed="false">
      <c r="A8" s="0" t="n">
        <v>1</v>
      </c>
      <c r="B8" s="0" t="n">
        <f aca="false">B7+A8</f>
        <v>5</v>
      </c>
      <c r="C8" s="0" t="n">
        <f aca="false">$C$3+($G$1/($E$1*86.4))*SINH($E$1*B8*86.4/$G$1)</f>
        <v>44609.0001662976</v>
      </c>
      <c r="D8" s="0" t="n">
        <f aca="false">C8-$C$3-B8</f>
        <v>0.000166297642863356</v>
      </c>
      <c r="E8" s="0" t="n">
        <f aca="false">$E$1*B8*86.4</f>
        <v>4237.92</v>
      </c>
      <c r="F8" s="0" t="n">
        <f aca="false">$G$1*G8</f>
        <v>4237.63812287482</v>
      </c>
      <c r="G8" s="0" t="n">
        <f aca="false">TANH($E$1*B8*86.4/$G$1)</f>
        <v>0.0141254604095827</v>
      </c>
      <c r="H8" s="0" t="n">
        <f aca="false">COSH($E$1*B8*86.4/$G$1)</f>
        <v>1.00009977924775</v>
      </c>
      <c r="I8" s="0" t="n">
        <f aca="false">(($G$1^2*1000)/($E$1*$I$1))*(H8-1)</f>
        <v>9.6757773410335E-005</v>
      </c>
      <c r="J8" s="0" t="n">
        <f aca="false">$J$3*EXP(-$E$1*B8*86.4/$G$1)</f>
        <v>985.972909410356</v>
      </c>
      <c r="K8" s="0" t="n">
        <f aca="false">J7-J8</f>
        <v>2.78958837002483</v>
      </c>
    </row>
    <row r="9" customFormat="false" ht="12.8" hidden="false" customHeight="false" outlineLevel="0" collapsed="false">
      <c r="A9" s="0" t="n">
        <v>1</v>
      </c>
      <c r="B9" s="0" t="n">
        <f aca="false">B8+A9</f>
        <v>6</v>
      </c>
      <c r="C9" s="0" t="n">
        <f aca="false">$C$3+($G$1/($E$1*86.4))*SINH($E$1*B9*86.4/$G$1)</f>
        <v>44610.0002873636</v>
      </c>
      <c r="D9" s="0" t="n">
        <f aca="false">C9-$C$3-B9</f>
        <v>0.000287363582174294</v>
      </c>
      <c r="E9" s="0" t="n">
        <f aca="false">$E$1*B9*86.4</f>
        <v>5085.504</v>
      </c>
      <c r="F9" s="0" t="n">
        <f aca="false">$G$1*G9</f>
        <v>5085.01693343288</v>
      </c>
      <c r="G9" s="0" t="n">
        <f aca="false">TANH($E$1*B9*86.4/$G$1)</f>
        <v>0.0169500564447763</v>
      </c>
      <c r="H9" s="0" t="n">
        <f aca="false">COSH($E$1*B9*86.4/$G$1)</f>
        <v>1.00014368316809</v>
      </c>
      <c r="I9" s="0" t="n">
        <f aca="false">(($G$1^2*1000)/($E$1*$I$1))*(H9-1)</f>
        <v>0.000139332213200064</v>
      </c>
      <c r="J9" s="0" t="n">
        <f aca="false">$J$3*EXP(-$E$1*B9*86.4/$G$1)</f>
        <v>983.191191285503</v>
      </c>
      <c r="K9" s="0" t="n">
        <f aca="false">J8-J9</f>
        <v>2.78171812485311</v>
      </c>
    </row>
    <row r="10" customFormat="false" ht="12.8" hidden="false" customHeight="false" outlineLevel="0" collapsed="false">
      <c r="A10" s="0" t="n">
        <v>1</v>
      </c>
      <c r="B10" s="0" t="n">
        <f aca="false">B9+A10</f>
        <v>7</v>
      </c>
      <c r="C10" s="0" t="n">
        <f aca="false">$C$3+($G$1/($E$1*86.4))*SINH($E$1*B10*86.4/$G$1)</f>
        <v>44611.0004563251</v>
      </c>
      <c r="D10" s="0" t="n">
        <f aca="false">C10-$C$3-B10</f>
        <v>0.000456325098639354</v>
      </c>
      <c r="E10" s="0" t="n">
        <f aca="false">$E$1*B10*86.4</f>
        <v>5933.088</v>
      </c>
      <c r="F10" s="0" t="n">
        <f aca="false">$G$1*G10</f>
        <v>5932.31458842949</v>
      </c>
      <c r="G10" s="0" t="n">
        <f aca="false">TANH($E$1*B10*86.4/$G$1)</f>
        <v>0.0197743819614316</v>
      </c>
      <c r="H10" s="0" t="n">
        <f aca="false">COSH($E$1*B10*86.4/$G$1)</f>
        <v>1.00019557044772</v>
      </c>
      <c r="I10" s="0" t="n">
        <f aca="false">(($G$1^2*1000)/($E$1*$I$1))*(H10-1)</f>
        <v>0.000189648263468682</v>
      </c>
      <c r="J10" s="0" t="n">
        <f aca="false">$J$3*EXP(-$E$1*B10*86.4/$G$1)</f>
        <v>980.417321201556</v>
      </c>
      <c r="K10" s="0" t="n">
        <f aca="false">J9-J10</f>
        <v>2.77387008394612</v>
      </c>
    </row>
    <row r="11" customFormat="false" ht="12.8" hidden="false" customHeight="false" outlineLevel="0" collapsed="false">
      <c r="A11" s="0" t="n">
        <v>1</v>
      </c>
      <c r="B11" s="0" t="n">
        <f aca="false">B10+A11</f>
        <v>8</v>
      </c>
      <c r="C11" s="0" t="n">
        <f aca="false">$C$3+($G$1/($E$1*86.4))*SINH($E$1*B11*86.4/$G$1)</f>
        <v>44612.0006811657</v>
      </c>
      <c r="D11" s="0" t="n">
        <f aca="false">C11-$C$3-B11</f>
        <v>0.0006811657367507</v>
      </c>
      <c r="E11" s="0" t="n">
        <f aca="false">$E$1*B11*86.4</f>
        <v>6780.672</v>
      </c>
      <c r="F11" s="0" t="n">
        <f aca="false">$G$1*G11</f>
        <v>6779.51757503508</v>
      </c>
      <c r="G11" s="0" t="n">
        <f aca="false">TANH($E$1*B11*86.4/$G$1)</f>
        <v>0.0225983919167836</v>
      </c>
      <c r="H11" s="0" t="n">
        <f aca="false">COSH($E$1*B11*86.4/$G$1)</f>
        <v>1.00025544150083</v>
      </c>
      <c r="I11" s="0" t="n">
        <f aca="false">(($G$1^2*1000)/($E$1*$I$1))*(H11-1)</f>
        <v>0.000247706325849663</v>
      </c>
      <c r="J11" s="0" t="n">
        <f aca="false">$J$3*EXP(-$E$1*B11*86.4/$G$1)</f>
        <v>977.651277016897</v>
      </c>
      <c r="K11" s="0" t="n">
        <f aca="false">J10-J11</f>
        <v>2.76604418465945</v>
      </c>
    </row>
    <row r="12" customFormat="false" ht="12.8" hidden="false" customHeight="false" outlineLevel="0" collapsed="false">
      <c r="A12" s="0" t="n">
        <v>1</v>
      </c>
      <c r="B12" s="0" t="n">
        <f aca="false">B11+A12</f>
        <v>9</v>
      </c>
      <c r="C12" s="0" t="n">
        <f aca="false">$C$3+($G$1/($E$1*86.4))*SINH($E$1*B12*86.4/$G$1)</f>
        <v>44613.0009698695</v>
      </c>
      <c r="D12" s="0" t="n">
        <f aca="false">C12-$C$3-B12</f>
        <v>0.000969869513937738</v>
      </c>
      <c r="E12" s="0" t="n">
        <f aca="false">$E$1*B12*86.4</f>
        <v>7628.256</v>
      </c>
      <c r="F12" s="0" t="n">
        <f aca="false">$G$1*G12</f>
        <v>7626.61238646174</v>
      </c>
      <c r="G12" s="0" t="n">
        <f aca="false">TANH($E$1*B12*86.4/$G$1)</f>
        <v>0.0254220412882058</v>
      </c>
      <c r="H12" s="0" t="n">
        <f aca="false">COSH($E$1*B12*86.4/$G$1)</f>
        <v>1.00032329680531</v>
      </c>
      <c r="I12" s="0" t="n">
        <f aca="false">(($G$1^2*1000)/($E$1*$I$1))*(H12-1)</f>
        <v>0.000313506863774391</v>
      </c>
      <c r="J12" s="0" t="n">
        <f aca="false">$J$3*EXP(-$E$1*B12*86.4/$G$1)</f>
        <v>974.893036652372</v>
      </c>
      <c r="K12" s="0" t="n">
        <f aca="false">J11-J12</f>
        <v>2.7582403645248</v>
      </c>
    </row>
    <row r="13" customFormat="false" ht="12.8" hidden="false" customHeight="false" outlineLevel="0" collapsed="false">
      <c r="A13" s="0" t="n">
        <v>1</v>
      </c>
      <c r="B13" s="0" t="n">
        <f aca="false">B12+A13</f>
        <v>10</v>
      </c>
      <c r="C13" s="0" t="n">
        <f aca="false">$C$3+($G$1/($E$1*86.4))*SINH($E$1*B13*86.4/$G$1)</f>
        <v>44614.0013304209</v>
      </c>
      <c r="D13" s="0" t="n">
        <f aca="false">C13-$C$3-B13</f>
        <v>0.00133042094239499</v>
      </c>
      <c r="E13" s="0" t="n">
        <f aca="false">$E$1*B13*86.4</f>
        <v>8475.84</v>
      </c>
      <c r="F13" s="0" t="n">
        <f aca="false">$G$1*G13</f>
        <v>8473.58552282397</v>
      </c>
      <c r="G13" s="0" t="n">
        <f aca="false">TANH($E$1*B13*86.4/$G$1)</f>
        <v>0.0282452850760799</v>
      </c>
      <c r="H13" s="0" t="n">
        <f aca="false">COSH($E$1*B13*86.4/$G$1)</f>
        <v>1.00039913690281</v>
      </c>
      <c r="I13" s="0" t="n">
        <f aca="false">(($G$1^2*1000)/($E$1*$I$1))*(H13-1)</f>
        <v>0.000387050402477334</v>
      </c>
      <c r="J13" s="0" t="n">
        <f aca="false">$J$3*EXP(-$E$1*B13*86.4/$G$1)</f>
        <v>972.142578091121</v>
      </c>
      <c r="K13" s="0" t="n">
        <f aca="false">J12-J13</f>
        <v>2.75045856125075</v>
      </c>
    </row>
    <row r="14" customFormat="false" ht="12.8" hidden="false" customHeight="false" outlineLevel="0" collapsed="false">
      <c r="A14" s="0" t="n">
        <v>1</v>
      </c>
      <c r="B14" s="0" t="n">
        <f aca="false">B13+A14</f>
        <v>11</v>
      </c>
      <c r="C14" s="0" t="n">
        <f aca="false">$C$3+($G$1/($E$1*86.4))*SINH($E$1*B14*86.4/$G$1)</f>
        <v>44615.0017708051</v>
      </c>
      <c r="D14" s="0" t="n">
        <f aca="false">C14-$C$3-B14</f>
        <v>0.0017708051163936</v>
      </c>
      <c r="E14" s="0" t="n">
        <f aca="false">$E$1*B14*86.4</f>
        <v>9323.424</v>
      </c>
      <c r="F14" s="0" t="n">
        <f aca="false">$G$1*G14</f>
        <v>9320.42349199847</v>
      </c>
      <c r="G14" s="0" t="n">
        <f aca="false">TANH($E$1*B14*86.4/$G$1)</f>
        <v>0.0310680783066616</v>
      </c>
      <c r="H14" s="0" t="n">
        <f aca="false">COSH($E$1*B14*86.4/$G$1)</f>
        <v>1.00048296239868</v>
      </c>
      <c r="I14" s="0" t="n">
        <f aca="false">(($G$1^2*1000)/($E$1*$I$1))*(H14-1)</f>
        <v>0.000468337528998196</v>
      </c>
      <c r="J14" s="0" t="n">
        <f aca="false">$J$3*EXP(-$E$1*B14*86.4/$G$1)</f>
        <v>969.399879378401</v>
      </c>
      <c r="K14" s="0" t="n">
        <f aca="false">J13-J14</f>
        <v>2.74269871272088</v>
      </c>
    </row>
    <row r="15" customFormat="false" ht="12.8" hidden="false" customHeight="false" outlineLevel="0" collapsed="false">
      <c r="A15" s="0" t="n">
        <v>1</v>
      </c>
      <c r="B15" s="0" t="n">
        <f aca="false">B14+A15</f>
        <v>12</v>
      </c>
      <c r="C15" s="0" t="n">
        <f aca="false">$C$3+($G$1/($E$1*86.4))*SINH($E$1*B15*86.4/$G$1)</f>
        <v>44616.0022990078</v>
      </c>
      <c r="D15" s="0" t="n">
        <f aca="false">C15-$C$3-B15</f>
        <v>0.00229900776321301</v>
      </c>
      <c r="E15" s="0" t="n">
        <f aca="false">$E$1*B15*86.4</f>
        <v>10171.008</v>
      </c>
      <c r="F15" s="0" t="n">
        <f aca="false">$G$1*G15</f>
        <v>10167.112810483</v>
      </c>
      <c r="G15" s="0" t="n">
        <f aca="false">TANH($E$1*B15*86.4/$G$1)</f>
        <v>0.0338903760349432</v>
      </c>
      <c r="H15" s="0" t="n">
        <f aca="false">COSH($E$1*B15*86.4/$G$1)</f>
        <v>1.00057477396206</v>
      </c>
      <c r="I15" s="0" t="n">
        <f aca="false">(($G$1^2*1000)/($E$1*$I$1))*(H15-1)</f>
        <v>0.000557368892188157</v>
      </c>
      <c r="J15" s="0" t="n">
        <f aca="false">$J$3*EXP(-$E$1*B15*86.4/$G$1)</f>
        <v>966.664918621406</v>
      </c>
      <c r="K15" s="0" t="n">
        <f aca="false">J14-J15</f>
        <v>2.73496075699472</v>
      </c>
    </row>
    <row r="16" customFormat="false" ht="12.8" hidden="false" customHeight="false" outlineLevel="0" collapsed="false">
      <c r="A16" s="0" t="n">
        <v>1</v>
      </c>
      <c r="B16" s="0" t="n">
        <f aca="false">B15+A16</f>
        <v>13</v>
      </c>
      <c r="C16" s="0" t="n">
        <f aca="false">$C$3+($G$1/($E$1*86.4))*SINH($E$1*B16*86.4/$G$1)</f>
        <v>44617.0029230153</v>
      </c>
      <c r="D16" s="0" t="n">
        <f aca="false">C16-$C$3-B16</f>
        <v>0.0029230153086246</v>
      </c>
      <c r="E16" s="0" t="n">
        <f aca="false">$E$1*B16*86.4</f>
        <v>11018.592</v>
      </c>
      <c r="F16" s="0" t="n">
        <f aca="false">$G$1*G16</f>
        <v>11013.6400042537</v>
      </c>
      <c r="G16" s="0" t="n">
        <f aca="false">TANH($E$1*B16*86.4/$G$1)</f>
        <v>0.0367121333475123</v>
      </c>
      <c r="H16" s="0" t="n">
        <f aca="false">COSH($E$1*B16*86.4/$G$1)</f>
        <v>1.00067457232579</v>
      </c>
      <c r="I16" s="0" t="n">
        <f aca="false">(($G$1^2*1000)/($E$1*$I$1))*(H16-1)</f>
        <v>0.000654145202714615</v>
      </c>
      <c r="J16" s="0" t="n">
        <f aca="false">$J$3*EXP(-$E$1*B16*86.4/$G$1)</f>
        <v>963.9376739891</v>
      </c>
      <c r="K16" s="0" t="n">
        <f aca="false">J15-J16</f>
        <v>2.72724463230622</v>
      </c>
    </row>
    <row r="17" customFormat="false" ht="12.8" hidden="false" customHeight="false" outlineLevel="0" collapsed="false">
      <c r="A17" s="0" t="n">
        <v>1</v>
      </c>
      <c r="B17" s="0" t="n">
        <f aca="false">B16+A17</f>
        <v>14</v>
      </c>
      <c r="C17" s="0" t="n">
        <f aca="false">$C$3+($G$1/($E$1*86.4))*SINH($E$1*B17*86.4/$G$1)</f>
        <v>44618.003650815</v>
      </c>
      <c r="D17" s="0" t="n">
        <f aca="false">C17-$C$3-B17</f>
        <v>0.00365081494965125</v>
      </c>
      <c r="E17" s="0" t="n">
        <f aca="false">$E$1*B17*86.4</f>
        <v>11866.176</v>
      </c>
      <c r="F17" s="0" t="n">
        <f aca="false">$G$1*G17</f>
        <v>11859.9916096218</v>
      </c>
      <c r="G17" s="0" t="n">
        <f aca="false">TANH($E$1*B17*86.4/$G$1)</f>
        <v>0.0395333053654061</v>
      </c>
      <c r="H17" s="0" t="n">
        <f aca="false">COSH($E$1*B17*86.4/$G$1)</f>
        <v>1.00078235828649</v>
      </c>
      <c r="I17" s="0" t="n">
        <f aca="false">(($G$1^2*1000)/($E$1*$I$1))*(H17-1)</f>
        <v>0.000758667233066567</v>
      </c>
      <c r="J17" s="0" t="n">
        <f aca="false">$J$3*EXP(-$E$1*B17*86.4/$G$1)</f>
        <v>961.218123712036</v>
      </c>
      <c r="K17" s="0" t="n">
        <f aca="false">J16-J17</f>
        <v>2.71955027706372</v>
      </c>
    </row>
    <row r="18" customFormat="false" ht="12.8" hidden="false" customHeight="false" outlineLevel="0" collapsed="false">
      <c r="A18" s="0" t="n">
        <v>1</v>
      </c>
      <c r="B18" s="0" t="n">
        <f aca="false">B17+A18</f>
        <v>15</v>
      </c>
      <c r="C18" s="0" t="n">
        <f aca="false">$C$3+($G$1/($E$1*86.4))*SINH($E$1*B18*86.4/$G$1)</f>
        <v>44619.0044903947</v>
      </c>
      <c r="D18" s="0" t="n">
        <f aca="false">C18-$C$3-B18</f>
        <v>0.0044903946982231</v>
      </c>
      <c r="E18" s="0" t="n">
        <f aca="false">$E$1*B18*86.4</f>
        <v>12713.76</v>
      </c>
      <c r="F18" s="0" t="n">
        <f aca="false">$G$1*G18</f>
        <v>12706.1541740884</v>
      </c>
      <c r="G18" s="0" t="n">
        <f aca="false">TANH($E$1*B18*86.4/$G$1)</f>
        <v>0.0423538472469612</v>
      </c>
      <c r="H18" s="0" t="n">
        <f aca="false">COSH($E$1*B18*86.4/$G$1)</f>
        <v>1.00089813270452</v>
      </c>
      <c r="I18" s="0" t="n">
        <f aca="false">(($G$1^2*1000)/($E$1*$I$1))*(H18-1)</f>
        <v>0.000870935817560855</v>
      </c>
      <c r="J18" s="0" t="n">
        <f aca="false">$J$3*EXP(-$E$1*B18*86.4/$G$1)</f>
        <v>958.506246082187</v>
      </c>
      <c r="K18" s="0" t="n">
        <f aca="false">J17-J18</f>
        <v>2.71187762984891</v>
      </c>
    </row>
    <row r="19" customFormat="false" ht="12.8" hidden="false" customHeight="false" outlineLevel="0" collapsed="false">
      <c r="A19" s="0" t="n">
        <v>1</v>
      </c>
      <c r="B19" s="0" t="n">
        <f aca="false">B18+A19</f>
        <v>16</v>
      </c>
      <c r="C19" s="0" t="n">
        <f aca="false">$C$3+($G$1/($E$1*86.4))*SINH($E$1*B19*86.4/$G$1)</f>
        <v>44620.0054497435</v>
      </c>
      <c r="D19" s="0" t="n">
        <f aca="false">C19-$C$3-B19</f>
        <v>0.00544974348304095</v>
      </c>
      <c r="E19" s="0" t="n">
        <f aca="false">$E$1*B19*86.4</f>
        <v>13561.344</v>
      </c>
      <c r="F19" s="0" t="n">
        <f aca="false">$G$1*G19</f>
        <v>13552.1142571974</v>
      </c>
      <c r="G19" s="0" t="n">
        <f aca="false">TANH($E$1*B19*86.4/$G$1)</f>
        <v>0.0451737141906581</v>
      </c>
      <c r="H19" s="0" t="n">
        <f aca="false">COSH($E$1*B19*86.4/$G$1)</f>
        <v>1.00102189650403</v>
      </c>
      <c r="I19" s="0" t="n">
        <f aca="false">(($G$1^2*1000)/($E$1*$I$1))*(H19-1)</f>
        <v>0.000990951852349483</v>
      </c>
      <c r="J19" s="0" t="n">
        <f aca="false">$J$3*EXP(-$E$1*B19*86.4/$G$1)</f>
        <v>955.80201945277</v>
      </c>
      <c r="K19" s="0" t="n">
        <f aca="false">J18-J19</f>
        <v>2.70422662941746</v>
      </c>
    </row>
    <row r="20" customFormat="false" ht="12.8" hidden="false" customHeight="false" outlineLevel="0" collapsed="false">
      <c r="A20" s="0" t="n">
        <v>1</v>
      </c>
      <c r="B20" s="0" t="n">
        <f aca="false">B19+A20</f>
        <v>17</v>
      </c>
      <c r="C20" s="0" t="n">
        <f aca="false">$C$3+($G$1/($E$1*86.4))*SINH($E$1*B20*86.4/$G$1)</f>
        <v>44621.0065368512</v>
      </c>
      <c r="D20" s="0" t="n">
        <f aca="false">C20-$C$3-B20</f>
        <v>0.00653685116412817</v>
      </c>
      <c r="E20" s="0" t="n">
        <f aca="false">$E$1*B20*86.4</f>
        <v>14408.928</v>
      </c>
      <c r="F20" s="0" t="n">
        <f aca="false">$G$1*G20</f>
        <v>14397.8584313882</v>
      </c>
      <c r="G20" s="0" t="n">
        <f aca="false">TANH($E$1*B20*86.4/$G$1)</f>
        <v>0.0479928614379606</v>
      </c>
      <c r="H20" s="0" t="n">
        <f aca="false">COSH($E$1*B20*86.4/$G$1)</f>
        <v>1.00115365067293</v>
      </c>
      <c r="I20" s="0" t="n">
        <f aca="false">(($G$1^2*1000)/($E$1*$I$1))*(H20-1)</f>
        <v>0.00111871629542586</v>
      </c>
      <c r="J20" s="0" t="n">
        <f aca="false">$J$3*EXP(-$E$1*B20*86.4/$G$1)</f>
        <v>953.105422238072</v>
      </c>
      <c r="K20" s="0" t="n">
        <f aca="false">J19-J20</f>
        <v>2.69659721469725</v>
      </c>
    </row>
    <row r="21" customFormat="false" ht="12.8" hidden="false" customHeight="false" outlineLevel="0" collapsed="false">
      <c r="A21" s="0" t="n">
        <v>1</v>
      </c>
      <c r="B21" s="0" t="n">
        <f aca="false">B20+A21</f>
        <v>18</v>
      </c>
      <c r="C21" s="0" t="n">
        <f aca="false">$C$3+($G$1/($E$1*86.4))*SINH($E$1*B21*86.4/$G$1)</f>
        <v>44622.0077597086</v>
      </c>
      <c r="D21" s="0" t="n">
        <f aca="false">C21-$C$3-B21</f>
        <v>0.00775970863469411</v>
      </c>
      <c r="E21" s="0" t="n">
        <f aca="false">$E$1*B21*86.4</f>
        <v>15256.512</v>
      </c>
      <c r="F21" s="0" t="n">
        <f aca="false">$G$1*G21</f>
        <v>15243.3732828448</v>
      </c>
      <c r="G21" s="0" t="n">
        <f aca="false">TANH($E$1*B21*86.4/$G$1)</f>
        <v>0.0508112442761492</v>
      </c>
      <c r="H21" s="0" t="n">
        <f aca="false">COSH($E$1*B21*86.4/$G$1)</f>
        <v>1.00129339626289</v>
      </c>
      <c r="I21" s="0" t="n">
        <f aca="false">(($G$1^2*1000)/($E$1*$I$1))*(H21-1)</f>
        <v>0.00125423016663279</v>
      </c>
      <c r="J21" s="0" t="n">
        <f aca="false">$J$3*EXP(-$E$1*B21*86.4/$G$1)</f>
        <v>950.416432913284</v>
      </c>
      <c r="K21" s="0" t="n">
        <f aca="false">J20-J21</f>
        <v>2.68898932478874</v>
      </c>
    </row>
    <row r="22" customFormat="false" ht="12.8" hidden="false" customHeight="false" outlineLevel="0" collapsed="false">
      <c r="A22" s="0" t="n">
        <v>1</v>
      </c>
      <c r="B22" s="0" t="n">
        <f aca="false">B21+A22</f>
        <v>19</v>
      </c>
      <c r="C22" s="0" t="n">
        <f aca="false">$C$3+($G$1/($E$1*86.4))*SINH($E$1*B22*86.4/$G$1)</f>
        <v>44623.0091263079</v>
      </c>
      <c r="D22" s="0" t="n">
        <f aca="false">C22-$C$3-B22</f>
        <v>0.00912630786478985</v>
      </c>
      <c r="E22" s="0" t="n">
        <f aca="false">$E$1*B22*86.4</f>
        <v>16104.096</v>
      </c>
      <c r="F22" s="0" t="n">
        <f aca="false">$G$1*G22</f>
        <v>16088.6454123444</v>
      </c>
      <c r="G22" s="0" t="n">
        <f aca="false">TANH($E$1*B22*86.4/$G$1)</f>
        <v>0.0536288180411482</v>
      </c>
      <c r="H22" s="0" t="n">
        <f aca="false">COSH($E$1*B22*86.4/$G$1)</f>
        <v>1.00144113438941</v>
      </c>
      <c r="I22" s="0" t="n">
        <f aca="false">(($G$1^2*1000)/($E$1*$I$1))*(H22-1)</f>
        <v>0.00139749454767082</v>
      </c>
      <c r="J22" s="0" t="n">
        <f aca="false">$J$3*EXP(-$E$1*B22*86.4/$G$1)</f>
        <v>947.735030014319</v>
      </c>
      <c r="K22" s="0" t="n">
        <f aca="false">J21-J22</f>
        <v>2.68140289896428</v>
      </c>
    </row>
    <row r="23" customFormat="false" ht="12.8" hidden="false" customHeight="false" outlineLevel="0" collapsed="false">
      <c r="A23" s="0" t="n">
        <v>1</v>
      </c>
      <c r="B23" s="0" t="n">
        <f aca="false">B22+A23</f>
        <v>20</v>
      </c>
      <c r="C23" s="0" t="n">
        <f aca="false">$C$3+($G$1/($E$1*86.4))*SINH($E$1*B23*86.4/$G$1)</f>
        <v>44624.010644642</v>
      </c>
      <c r="D23" s="0" t="n">
        <f aca="false">C23-$C$3-B23</f>
        <v>0.0106446419813437</v>
      </c>
      <c r="E23" s="0" t="n">
        <f aca="false">$E$1*B23*86.4</f>
        <v>16951.68</v>
      </c>
      <c r="F23" s="0" t="n">
        <f aca="false">$G$1*G23</f>
        <v>16933.6614361039</v>
      </c>
      <c r="G23" s="0" t="n">
        <f aca="false">TANH($E$1*B23*86.4/$G$1)</f>
        <v>0.0564455381203464</v>
      </c>
      <c r="H23" s="0" t="n">
        <f aca="false">COSH($E$1*B23*86.4/$G$1)</f>
        <v>1.00159686623176</v>
      </c>
      <c r="I23" s="0" t="n">
        <f aca="false">(($G$1^2*1000)/($E$1*$I$1))*(H23-1)</f>
        <v>0.00154851058210669</v>
      </c>
      <c r="J23" s="0" t="n">
        <f aca="false">$J$3*EXP(-$E$1*B23*86.4/$G$1)</f>
        <v>945.061192137652</v>
      </c>
      <c r="K23" s="0" t="n">
        <f aca="false">J22-J23</f>
        <v>2.67383787666699</v>
      </c>
    </row>
    <row r="24" customFormat="false" ht="12.8" hidden="false" customHeight="false" outlineLevel="0" collapsed="false">
      <c r="A24" s="0" t="n">
        <v>1</v>
      </c>
      <c r="B24" s="0" t="n">
        <f aca="false">B23+A24</f>
        <v>21</v>
      </c>
      <c r="C24" s="0" t="n">
        <f aca="false">$C$3+($G$1/($E$1*86.4))*SINH($E$1*B24*86.4/$G$1)</f>
        <v>44625.0123227053</v>
      </c>
      <c r="D24" s="0" t="n">
        <f aca="false">C24-$C$3-B24</f>
        <v>0.0123227053190931</v>
      </c>
      <c r="E24" s="0" t="n">
        <f aca="false">$E$1*B24*86.4</f>
        <v>17799.264</v>
      </c>
      <c r="F24" s="0" t="n">
        <f aca="false">$G$1*G24</f>
        <v>17778.4079866233</v>
      </c>
      <c r="G24" s="0" t="n">
        <f aca="false">TANH($E$1*B24*86.4/$G$1)</f>
        <v>0.0592613599554111</v>
      </c>
      <c r="H24" s="0" t="n">
        <f aca="false">COSH($E$1*B24*86.4/$G$1)</f>
        <v>1.00176059303302</v>
      </c>
      <c r="I24" s="0" t="n">
        <f aca="false">(($G$1^2*1000)/($E$1*$I$1))*(H24-1)</f>
        <v>0.00170727947538257</v>
      </c>
      <c r="J24" s="0" t="n">
        <f aca="false">$J$3*EXP(-$E$1*B24*86.4/$G$1)</f>
        <v>942.394897940141</v>
      </c>
      <c r="K24" s="0" t="n">
        <f aca="false">J23-J24</f>
        <v>2.66629419751177</v>
      </c>
    </row>
    <row r="25" customFormat="false" ht="12.8" hidden="false" customHeight="false" outlineLevel="0" collapsed="false">
      <c r="A25" s="0" t="n">
        <v>1</v>
      </c>
      <c r="B25" s="0" t="n">
        <f aca="false">B24+A25</f>
        <v>22</v>
      </c>
      <c r="C25" s="0" t="n">
        <f aca="false">$C$3+($G$1/($E$1*86.4))*SINH($E$1*B25*86.4/$G$1)</f>
        <v>44626.0141684935</v>
      </c>
      <c r="D25" s="0" t="n">
        <f aca="false">C25-$C$3-B25</f>
        <v>0.0141684934715158</v>
      </c>
      <c r="E25" s="0" t="n">
        <f aca="false">$E$1*B25*86.4</f>
        <v>18646.848</v>
      </c>
      <c r="F25" s="0" t="n">
        <f aca="false">$G$1*G25</f>
        <v>18622.8717135282</v>
      </c>
      <c r="G25" s="0" t="n">
        <f aca="false">TANH($E$1*B25*86.4/$G$1)</f>
        <v>0.0620762390450941</v>
      </c>
      <c r="H25" s="0" t="n">
        <f aca="false">COSH($E$1*B25*86.4/$G$1)</f>
        <v>1.00193231610009</v>
      </c>
      <c r="I25" s="0" t="n">
        <f aca="false">(($G$1^2*1000)/($E$1*$I$1))*(H25-1)</f>
        <v>0.00187380249482529</v>
      </c>
      <c r="J25" s="0" t="n">
        <f aca="false">$J$3*EXP(-$E$1*B25*86.4/$G$1)</f>
        <v>939.736126138858</v>
      </c>
      <c r="K25" s="0" t="n">
        <f aca="false">J24-J25</f>
        <v>2.65877180128291</v>
      </c>
    </row>
    <row r="26" customFormat="false" ht="12.8" hidden="false" customHeight="false" outlineLevel="0" collapsed="false">
      <c r="A26" s="0" t="n">
        <v>1</v>
      </c>
      <c r="B26" s="0" t="n">
        <f aca="false">B25+A26</f>
        <v>23</v>
      </c>
      <c r="C26" s="0" t="n">
        <f aca="false">$C$3+($G$1/($E$1*86.4))*SINH($E$1*B26*86.4/$G$1)</f>
        <v>44627.0161900034</v>
      </c>
      <c r="D26" s="0" t="n">
        <f aca="false">C26-$C$3-B26</f>
        <v>0.0161900033926941</v>
      </c>
      <c r="E26" s="0" t="n">
        <f aca="false">$E$1*B26*86.4</f>
        <v>19494.432</v>
      </c>
      <c r="F26" s="0" t="n">
        <f aca="false">$G$1*G26</f>
        <v>19467.0392844091</v>
      </c>
      <c r="G26" s="0" t="n">
        <f aca="false">TANH($E$1*B26*86.4/$G$1)</f>
        <v>0.0648901309480304</v>
      </c>
      <c r="H26" s="0" t="n">
        <f aca="false">COSH($E$1*B26*86.4/$G$1)</f>
        <v>1.00211203680371</v>
      </c>
      <c r="I26" s="0" t="n">
        <f aca="false">(($G$1^2*1000)/($E$1*$I$1))*(H26-1)</f>
        <v>0.00204808096965696</v>
      </c>
      <c r="J26" s="0" t="n">
        <f aca="false">$J$3*EXP(-$E$1*B26*86.4/$G$1)</f>
        <v>937.084855510922</v>
      </c>
      <c r="K26" s="0" t="n">
        <f aca="false">J25-J26</f>
        <v>2.65127062793533</v>
      </c>
    </row>
    <row r="27" customFormat="false" ht="12.8" hidden="false" customHeight="false" outlineLevel="0" collapsed="false">
      <c r="A27" s="0" t="n">
        <v>1</v>
      </c>
      <c r="B27" s="0" t="n">
        <f aca="false">B26+A27</f>
        <v>24</v>
      </c>
      <c r="C27" s="0" t="n">
        <f aca="false">$C$3+($G$1/($E$1*86.4))*SINH($E$1*B27*86.4/$G$1)</f>
        <v>44628.0183952334</v>
      </c>
      <c r="D27" s="0" t="n">
        <f aca="false">C27-$C$3-B27</f>
        <v>0.0183952334336936</v>
      </c>
      <c r="E27" s="0" t="n">
        <f aca="false">$E$1*B27*86.4</f>
        <v>20342.016</v>
      </c>
      <c r="F27" s="0" t="n">
        <f aca="false">$G$1*G27</f>
        <v>20310.8973856588</v>
      </c>
      <c r="G27" s="0" t="n">
        <f aca="false">TANH($E$1*B27*86.4/$G$1)</f>
        <v>0.0677029912855293</v>
      </c>
      <c r="H27" s="0" t="n">
        <f aca="false">COSH($E$1*B27*86.4/$G$1)</f>
        <v>1.00229975657845</v>
      </c>
      <c r="I27" s="0" t="n">
        <f aca="false">(($G$1^2*1000)/($E$1*$I$1))*(H27-1)</f>
        <v>0.00223011629100546</v>
      </c>
      <c r="J27" s="0" t="n">
        <f aca="false">$J$3*EXP(-$E$1*B27*86.4/$G$1)</f>
        <v>934.441064893329</v>
      </c>
      <c r="K27" s="0" t="n">
        <f aca="false">J26-J27</f>
        <v>2.64379061759314</v>
      </c>
    </row>
    <row r="28" customFormat="false" ht="12.8" hidden="false" customHeight="false" outlineLevel="0" collapsed="false">
      <c r="A28" s="0" t="n">
        <v>1</v>
      </c>
      <c r="B28" s="0" t="n">
        <f aca="false">B27+A28</f>
        <v>25</v>
      </c>
      <c r="C28" s="0" t="n">
        <f aca="false">$C$3+($G$1/($E$1*86.4))*SINH($E$1*B28*86.4/$G$1)</f>
        <v>44629.0207921834</v>
      </c>
      <c r="D28" s="0" t="n">
        <f aca="false">C28-$C$3-B28</f>
        <v>0.020792183408048</v>
      </c>
      <c r="E28" s="0" t="n">
        <f aca="false">$E$1*B28*86.4</f>
        <v>21189.6</v>
      </c>
      <c r="F28" s="0" t="n">
        <f aca="false">$G$1*G28</f>
        <v>21154.4327233068</v>
      </c>
      <c r="G28" s="0" t="n">
        <f aca="false">TANH($E$1*B28*86.4/$G$1)</f>
        <v>0.0705147757443561</v>
      </c>
      <c r="H28" s="0" t="n">
        <f aca="false">COSH($E$1*B28*86.4/$G$1)</f>
        <v>1.00249547692272</v>
      </c>
      <c r="I28" s="0" t="n">
        <f aca="false">(($G$1^2*1000)/($E$1*$I$1))*(H28-1)</f>
        <v>0.00241990991191542</v>
      </c>
      <c r="J28" s="0" t="n">
        <f aca="false">$J$3*EXP(-$E$1*B28*86.4/$G$1)</f>
        <v>931.80473318278</v>
      </c>
      <c r="K28" s="0" t="n">
        <f aca="false">J27-J28</f>
        <v>2.63633171054903</v>
      </c>
    </row>
    <row r="29" customFormat="false" ht="12.8" hidden="false" customHeight="false" outlineLevel="0" collapsed="false">
      <c r="A29" s="0" t="n">
        <v>1</v>
      </c>
      <c r="B29" s="0" t="n">
        <f aca="false">B28+A29</f>
        <v>26</v>
      </c>
      <c r="C29" s="0" t="n">
        <f aca="false">$C$3+($G$1/($E$1*86.4))*SINH($E$1*B29*86.4/$G$1)</f>
        <v>44630.0233888547</v>
      </c>
      <c r="D29" s="0" t="n">
        <f aca="false">C29-$C$3-B29</f>
        <v>0.0233888546572416</v>
      </c>
      <c r="E29" s="0" t="n">
        <f aca="false">$E$1*B29*86.4</f>
        <v>22037.184</v>
      </c>
      <c r="F29" s="0" t="n">
        <f aca="false">$G$1*G29</f>
        <v>21997.6320238517</v>
      </c>
      <c r="G29" s="0" t="n">
        <f aca="false">TANH($E$1*B29*86.4/$G$1)</f>
        <v>0.0733254400795055</v>
      </c>
      <c r="H29" s="0" t="n">
        <f aca="false">COSH($E$1*B29*86.4/$G$1)</f>
        <v>1.0026991993988</v>
      </c>
      <c r="I29" s="0" t="n">
        <f aca="false">(($G$1^2*1000)/($E$1*$I$1))*(H29-1)</f>
        <v>0.0026174633473597</v>
      </c>
      <c r="J29" s="0" t="n">
        <f aca="false">$J$3*EXP(-$E$1*B29*86.4/$G$1)</f>
        <v>929.175839335516</v>
      </c>
      <c r="K29" s="0" t="n">
        <f aca="false">J28-J29</f>
        <v>2.62889384726441</v>
      </c>
    </row>
    <row r="30" customFormat="false" ht="12.8" hidden="false" customHeight="false" outlineLevel="0" collapsed="false">
      <c r="A30" s="0" t="n">
        <v>1</v>
      </c>
      <c r="B30" s="0" t="n">
        <f aca="false">B29+A30</f>
        <v>27</v>
      </c>
      <c r="C30" s="0" t="n">
        <f aca="false">$C$3+($G$1/($E$1*86.4))*SINH($E$1*B30*86.4/$G$1)</f>
        <v>44631.0261932501</v>
      </c>
      <c r="D30" s="0" t="n">
        <f aca="false">C30-$C$3-B30</f>
        <v>0.0261932501234696</v>
      </c>
      <c r="E30" s="0" t="n">
        <f aca="false">$E$1*B30*86.4</f>
        <v>22884.768</v>
      </c>
      <c r="F30" s="0" t="n">
        <f aca="false">$G$1*G30</f>
        <v>22840.4820350899</v>
      </c>
      <c r="G30" s="0" t="n">
        <f aca="false">TANH($E$1*B30*86.4/$G$1)</f>
        <v>0.0761349401169663</v>
      </c>
      <c r="H30" s="0" t="n">
        <f aca="false">COSH($E$1*B30*86.4/$G$1)</f>
        <v>1.00291092563286</v>
      </c>
      <c r="I30" s="0" t="n">
        <f aca="false">(($G$1^2*1000)/($E$1*$I$1))*(H30-1)</f>
        <v>0.002822778174252</v>
      </c>
      <c r="J30" s="0" t="n">
        <f aca="false">$J$3*EXP(-$E$1*B30*86.4/$G$1)</f>
        <v>926.554362367146</v>
      </c>
      <c r="K30" s="0" t="n">
        <f aca="false">J29-J30</f>
        <v>2.62147696836928</v>
      </c>
    </row>
    <row r="31" customFormat="false" ht="12.8" hidden="false" customHeight="false" outlineLevel="0" collapsed="false">
      <c r="A31" s="0" t="n">
        <v>1</v>
      </c>
      <c r="B31" s="0" t="n">
        <f aca="false">B30+A31</f>
        <v>28</v>
      </c>
      <c r="C31" s="0" t="n">
        <f aca="false">$C$3+($G$1/($E$1*86.4))*SINH($E$1*B31*86.4/$G$1)</f>
        <v>44632.0292133744</v>
      </c>
      <c r="D31" s="0" t="n">
        <f aca="false">C31-$C$3-B31</f>
        <v>0.0292133744078456</v>
      </c>
      <c r="E31" s="0" t="n">
        <f aca="false">$E$1*B31*86.4</f>
        <v>23732.352</v>
      </c>
      <c r="F31" s="0" t="n">
        <f aca="false">$G$1*G31</f>
        <v>23682.9695269426</v>
      </c>
      <c r="G31" s="0" t="n">
        <f aca="false">TANH($E$1*B31*86.4/$G$1)</f>
        <v>0.0789432317564754</v>
      </c>
      <c r="H31" s="0" t="n">
        <f aca="false">COSH($E$1*B31*86.4/$G$1)</f>
        <v>1.00313065731492</v>
      </c>
      <c r="I31" s="0" t="n">
        <f aca="false">(($G$1^2*1000)/($E$1*$I$1))*(H31-1)</f>
        <v>0.00303585603145878</v>
      </c>
      <c r="J31" s="0" t="n">
        <f aca="false">$J$3*EXP(-$E$1*B31*86.4/$G$1)</f>
        <v>923.940281352487</v>
      </c>
      <c r="K31" s="0" t="n">
        <f aca="false">J30-J31</f>
        <v>2.61408101465963</v>
      </c>
    </row>
    <row r="32" customFormat="false" ht="12.8" hidden="false" customHeight="false" outlineLevel="0" collapsed="false">
      <c r="A32" s="0" t="n">
        <v>1</v>
      </c>
      <c r="B32" s="0" t="n">
        <f aca="false">B31+A32</f>
        <v>29</v>
      </c>
      <c r="C32" s="0" t="n">
        <f aca="false">$C$3+($G$1/($E$1*86.4))*SINH($E$1*B32*86.4/$G$1)</f>
        <v>44633.0324572338</v>
      </c>
      <c r="D32" s="0" t="n">
        <f aca="false">C32-$C$3-B32</f>
        <v>0.0324572338213329</v>
      </c>
      <c r="E32" s="0" t="n">
        <f aca="false">$E$1*B32*86.4</f>
        <v>24579.936</v>
      </c>
      <c r="F32" s="0" t="n">
        <f aca="false">$G$1*G32</f>
        <v>24525.081292279</v>
      </c>
      <c r="G32" s="0" t="n">
        <f aca="false">TANH($E$1*B32*86.4/$G$1)</f>
        <v>0.0817502709742632</v>
      </c>
      <c r="H32" s="0" t="n">
        <f aca="false">COSH($E$1*B32*86.4/$G$1)</f>
        <v>1.00335839619895</v>
      </c>
      <c r="I32" s="0" t="n">
        <f aca="false">(($G$1^2*1000)/($E$1*$I$1))*(H32-1)</f>
        <v>0.00325669861981278</v>
      </c>
      <c r="J32" s="0" t="n">
        <f aca="false">$J$3*EXP(-$E$1*B32*86.4/$G$1)</f>
        <v>921.333575425387</v>
      </c>
      <c r="K32" s="0" t="n">
        <f aca="false">J31-J32</f>
        <v>2.60670592710005</v>
      </c>
    </row>
    <row r="33" customFormat="false" ht="12.8" hidden="false" customHeight="false" outlineLevel="0" collapsed="false">
      <c r="A33" s="0" t="n">
        <v>1</v>
      </c>
      <c r="B33" s="0" t="n">
        <f aca="false">B32+A33</f>
        <v>30</v>
      </c>
      <c r="C33" s="0" t="n">
        <f aca="false">$C$3+($G$1/($E$1*86.4))*SINH($E$1*B33*86.4/$G$1)</f>
        <v>44634.0359328365</v>
      </c>
      <c r="D33" s="0" t="n">
        <f aca="false">C33-$C$3-B33</f>
        <v>0.0359328364720568</v>
      </c>
      <c r="E33" s="0" t="n">
        <f aca="false">$E$1*B33*86.4</f>
        <v>25427.52</v>
      </c>
      <c r="F33" s="0" t="n">
        <f aca="false">$G$1*G33</f>
        <v>25366.8041477363</v>
      </c>
      <c r="G33" s="0" t="n">
        <f aca="false">TANH($E$1*B33*86.4/$G$1)</f>
        <v>0.0845560138257877</v>
      </c>
      <c r="H33" s="0" t="n">
        <f aca="false">COSH($E$1*B33*86.4/$G$1)</f>
        <v>1.0035941441028</v>
      </c>
      <c r="I33" s="0" t="n">
        <f aca="false">(($G$1^2*1000)/($E$1*$I$1))*(H33-1)</f>
        <v>0.00348530770212618</v>
      </c>
      <c r="J33" s="0" t="n">
        <f aca="false">$J$3*EXP(-$E$1*B33*86.4/$G$1)</f>
        <v>918.734223778566</v>
      </c>
      <c r="K33" s="0" t="n">
        <f aca="false">J32-J33</f>
        <v>2.59935164682076</v>
      </c>
    </row>
    <row r="34" customFormat="false" ht="12.8" hidden="false" customHeight="false" outlineLevel="0" collapsed="false">
      <c r="A34" s="0" t="n">
        <v>1</v>
      </c>
      <c r="B34" s="0" t="n">
        <f aca="false">B33+A34</f>
        <v>31</v>
      </c>
      <c r="C34" s="0" t="n">
        <f aca="false">$C$3+($G$1/($E$1*86.4))*SINH($E$1*B34*86.4/$G$1)</f>
        <v>44635.0396481923</v>
      </c>
      <c r="D34" s="0" t="n">
        <f aca="false">C34-$C$3-B34</f>
        <v>0.0396481923235115</v>
      </c>
      <c r="E34" s="0" t="n">
        <f aca="false">$E$1*B34*86.4</f>
        <v>26275.104</v>
      </c>
      <c r="F34" s="0" t="n">
        <f aca="false">$G$1*G34</f>
        <v>26208.1249345375</v>
      </c>
      <c r="G34" s="0" t="n">
        <f aca="false">TANH($E$1*B34*86.4/$G$1)</f>
        <v>0.0873604164484584</v>
      </c>
      <c r="H34" s="0" t="n">
        <f aca="false">COSH($E$1*B34*86.4/$G$1)</f>
        <v>1.00383790290826</v>
      </c>
      <c r="I34" s="0" t="n">
        <f aca="false">(($G$1^2*1000)/($E$1*$I$1))*(H34-1)</f>
        <v>0.00372168510320543</v>
      </c>
      <c r="J34" s="0" t="n">
        <f aca="false">$J$3*EXP(-$E$1*B34*86.4/$G$1)</f>
        <v>916.142205663448</v>
      </c>
      <c r="K34" s="0" t="n">
        <f aca="false">J33-J34</f>
        <v>2.59201811511844</v>
      </c>
    </row>
    <row r="35" customFormat="false" ht="12.8" hidden="false" customHeight="false" outlineLevel="0" collapsed="false">
      <c r="A35" s="0" t="n">
        <v>1</v>
      </c>
      <c r="B35" s="0" t="n">
        <f aca="false">B34+A35</f>
        <v>32</v>
      </c>
      <c r="C35" s="0" t="n">
        <f aca="false">$C$3+($G$1/($E$1*86.4))*SINH($E$1*B35*86.4/$G$1)</f>
        <v>44636.0436113132</v>
      </c>
      <c r="D35" s="0" t="n">
        <f aca="false">C35-$C$3-B35</f>
        <v>0.0436113132382161</v>
      </c>
      <c r="E35" s="0" t="n">
        <f aca="false">$E$1*B35*86.4</f>
        <v>27122.688</v>
      </c>
      <c r="F35" s="0" t="n">
        <f aca="false">$G$1*G35</f>
        <v>27049.0305193049</v>
      </c>
      <c r="G35" s="0" t="n">
        <f aca="false">TANH($E$1*B35*86.4/$G$1)</f>
        <v>0.0901634350643498</v>
      </c>
      <c r="H35" s="0" t="n">
        <f aca="false">COSH($E$1*B35*86.4/$G$1)</f>
        <v>1.00408967456106</v>
      </c>
      <c r="I35" s="0" t="n">
        <f aca="false">(($G$1^2*1000)/($E$1*$I$1))*(H35-1)</f>
        <v>0.00396583270986529</v>
      </c>
      <c r="J35" s="0" t="n">
        <f aca="false">$J$3*EXP(-$E$1*B35*86.4/$G$1)</f>
        <v>913.557500389992</v>
      </c>
      <c r="K35" s="0" t="n">
        <f aca="false">J34-J35</f>
        <v>2.58470527345514</v>
      </c>
    </row>
    <row r="36" customFormat="false" ht="12.8" hidden="false" customHeight="false" outlineLevel="0" collapsed="false">
      <c r="A36" s="0" t="n">
        <v>1</v>
      </c>
      <c r="B36" s="0" t="n">
        <f aca="false">B35+A36</f>
        <v>33</v>
      </c>
      <c r="C36" s="0" t="n">
        <f aca="false">$C$3+($G$1/($E$1*86.4))*SINH($E$1*B36*86.4/$G$1)</f>
        <v>44637.0478302131</v>
      </c>
      <c r="D36" s="0" t="n">
        <f aca="false">C36-$C$3-B36</f>
        <v>0.0478302130650263</v>
      </c>
      <c r="E36" s="0" t="n">
        <f aca="false">$E$1*B36*86.4</f>
        <v>27970.272</v>
      </c>
      <c r="F36" s="0" t="n">
        <f aca="false">$G$1*G36</f>
        <v>27889.5077948706</v>
      </c>
      <c r="G36" s="0" t="n">
        <f aca="false">TANH($E$1*B36*86.4/$G$1)</f>
        <v>0.0929650259829021</v>
      </c>
      <c r="H36" s="0" t="n">
        <f aca="false">COSH($E$1*B36*86.4/$G$1)</f>
        <v>1.0043494610709</v>
      </c>
      <c r="I36" s="0" t="n">
        <f aca="false">(($G$1^2*1000)/($E$1*$I$1))*(H36-1)</f>
        <v>0.00421775247094363</v>
      </c>
      <c r="J36" s="0" t="n">
        <f aca="false">$J$3*EXP(-$E$1*B36*86.4/$G$1)</f>
        <v>910.980087326534</v>
      </c>
      <c r="K36" s="0" t="n">
        <f aca="false">J35-J36</f>
        <v>2.57741306345838</v>
      </c>
    </row>
    <row r="37" customFormat="false" ht="12.8" hidden="false" customHeight="false" outlineLevel="0" collapsed="false">
      <c r="A37" s="0" t="n">
        <v>1</v>
      </c>
      <c r="B37" s="0" t="n">
        <f aca="false">B36+A37</f>
        <v>34</v>
      </c>
      <c r="C37" s="0" t="n">
        <f aca="false">$C$3+($G$1/($E$1*86.4))*SINH($E$1*B37*86.4/$G$1)</f>
        <v>44638.0523129077</v>
      </c>
      <c r="D37" s="0" t="n">
        <f aca="false">C37-$C$3-B37</f>
        <v>0.0523129076900659</v>
      </c>
      <c r="E37" s="0" t="n">
        <f aca="false">$E$1*B37*86.4</f>
        <v>28817.856</v>
      </c>
      <c r="F37" s="0" t="n">
        <f aca="false">$G$1*G37</f>
        <v>28729.5436810836</v>
      </c>
      <c r="G37" s="0" t="n">
        <f aca="false">TANH($E$1*B37*86.4/$G$1)</f>
        <v>0.095765145603612</v>
      </c>
      <c r="H37" s="0" t="n">
        <f aca="false">COSH($E$1*B37*86.4/$G$1)</f>
        <v>1.00461726451146</v>
      </c>
      <c r="I37" s="0" t="n">
        <f aca="false">(($G$1^2*1000)/($E$1*$I$1))*(H37-1)</f>
        <v>0.00447744639731763</v>
      </c>
      <c r="J37" s="0" t="n">
        <f aca="false">$J$3*EXP(-$E$1*B37*86.4/$G$1)</f>
        <v>908.409945899614</v>
      </c>
      <c r="K37" s="0" t="n">
        <f aca="false">J36-J37</f>
        <v>2.57014142692015</v>
      </c>
    </row>
    <row r="38" customFormat="false" ht="12.8" hidden="false" customHeight="false" outlineLevel="0" collapsed="false">
      <c r="A38" s="0" t="n">
        <v>1</v>
      </c>
      <c r="B38" s="0" t="n">
        <f aca="false">B37+A38</f>
        <v>35</v>
      </c>
      <c r="C38" s="0" t="n">
        <f aca="false">$C$3+($G$1/($E$1*86.4))*SINH($E$1*B38*86.4/$G$1)</f>
        <v>44639.0570674151</v>
      </c>
      <c r="D38" s="0" t="n">
        <f aca="false">C38-$C$3-B38</f>
        <v>0.0570674151094863</v>
      </c>
      <c r="E38" s="0" t="n">
        <f aca="false">$E$1*B38*86.4</f>
        <v>29665.44</v>
      </c>
      <c r="F38" s="0" t="n">
        <f aca="false">$G$1*G38</f>
        <v>29569.125125613</v>
      </c>
      <c r="G38" s="0" t="n">
        <f aca="false">TANH($E$1*B38*86.4/$G$1)</f>
        <v>0.0985637504187101</v>
      </c>
      <c r="H38" s="0" t="n">
        <f aca="false">COSH($E$1*B38*86.4/$G$1)</f>
        <v>1.00489308702038</v>
      </c>
      <c r="I38" s="0" t="n">
        <f aca="false">(($G$1^2*1000)/($E$1*$I$1))*(H38-1)</f>
        <v>0.00474491656191902</v>
      </c>
      <c r="J38" s="0" t="n">
        <f aca="false">$J$3*EXP(-$E$1*B38*86.4/$G$1)</f>
        <v>905.847055593817</v>
      </c>
      <c r="K38" s="0" t="n">
        <f aca="false">J37-J38</f>
        <v>2.56289030579649</v>
      </c>
    </row>
    <row r="39" customFormat="false" ht="12.8" hidden="false" customHeight="false" outlineLevel="0" collapsed="false">
      <c r="A39" s="0" t="n">
        <v>1</v>
      </c>
      <c r="B39" s="0" t="n">
        <f aca="false">B38+A39</f>
        <v>36</v>
      </c>
      <c r="C39" s="0" t="n">
        <f aca="false">$C$3+($G$1/($E$1*86.4))*SINH($E$1*B39*86.4/$G$1)</f>
        <v>44640.0621017555</v>
      </c>
      <c r="D39" s="0" t="n">
        <f aca="false">C39-$C$3-B39</f>
        <v>0.0621017554876744</v>
      </c>
      <c r="E39" s="0" t="n">
        <f aca="false">$E$1*B39*86.4</f>
        <v>30513.024</v>
      </c>
      <c r="F39" s="0" t="n">
        <f aca="false">$G$1*G39</f>
        <v>30408.239104748</v>
      </c>
      <c r="G39" s="0" t="n">
        <f aca="false">TANH($E$1*B39*86.4/$G$1)</f>
        <v>0.101360797015827</v>
      </c>
      <c r="H39" s="0" t="n">
        <f aca="false">COSH($E$1*B39*86.4/$G$1)</f>
        <v>1.00517693079936</v>
      </c>
      <c r="I39" s="0" t="n">
        <f aca="false">(($G$1^2*1000)/($E$1*$I$1))*(H39-1)</f>
        <v>0.00502016509975202</v>
      </c>
      <c r="J39" s="0" t="n">
        <f aca="false">$J$3*EXP(-$E$1*B39*86.4/$G$1)</f>
        <v>903.29139595161</v>
      </c>
      <c r="K39" s="0" t="n">
        <f aca="false">J38-J39</f>
        <v>2.5556596422075</v>
      </c>
    </row>
    <row r="40" customFormat="false" ht="12.8" hidden="false" customHeight="false" outlineLevel="0" collapsed="false">
      <c r="A40" s="0" t="n">
        <v>1</v>
      </c>
      <c r="B40" s="0" t="n">
        <f aca="false">B39+A40</f>
        <v>37</v>
      </c>
      <c r="C40" s="0" t="n">
        <f aca="false">$C$3+($G$1/($E$1*86.4))*SINH($E$1*B40*86.4/$G$1)</f>
        <v>44641.0674239512</v>
      </c>
      <c r="D40" s="0" t="n">
        <f aca="false">C40-$C$3-B40</f>
        <v>0.0674239512227359</v>
      </c>
      <c r="E40" s="0" t="n">
        <f aca="false">$E$1*B40*86.4</f>
        <v>31360.608</v>
      </c>
      <c r="F40" s="0" t="n">
        <f aca="false">$G$1*G40</f>
        <v>31246.8726241934</v>
      </c>
      <c r="G40" s="0" t="n">
        <f aca="false">TANH($E$1*B40*86.4/$G$1)</f>
        <v>0.104156242080645</v>
      </c>
      <c r="H40" s="0" t="n">
        <f aca="false">COSH($E$1*B40*86.4/$G$1)</f>
        <v>1.00546879811408</v>
      </c>
      <c r="I40" s="0" t="n">
        <f aca="false">(($G$1^2*1000)/($E$1*$I$1))*(H40-1)</f>
        <v>0.00530319420790833</v>
      </c>
      <c r="J40" s="0" t="n">
        <f aca="false">$J$3*EXP(-$E$1*B40*86.4/$G$1)</f>
        <v>900.742946573173</v>
      </c>
      <c r="K40" s="0" t="n">
        <f aca="false">J39-J40</f>
        <v>2.548449378437</v>
      </c>
    </row>
    <row r="41" customFormat="false" ht="12.8" hidden="false" customHeight="false" outlineLevel="0" collapsed="false">
      <c r="A41" s="0" t="n">
        <v>1</v>
      </c>
      <c r="B41" s="0" t="n">
        <f aca="false">B40+A41</f>
        <v>38</v>
      </c>
      <c r="C41" s="0" t="n">
        <f aca="false">$C$3+($G$1/($E$1*86.4))*SINH($E$1*B41*86.4/$G$1)</f>
        <v>44642.073042027</v>
      </c>
      <c r="D41" s="0" t="n">
        <f aca="false">C41-$C$3-B41</f>
        <v>0.0730420270047034</v>
      </c>
      <c r="E41" s="0" t="n">
        <f aca="false">$E$1*B41*86.4</f>
        <v>32208.192</v>
      </c>
      <c r="F41" s="0" t="n">
        <f aca="false">$G$1*G41</f>
        <v>32085.0127198616</v>
      </c>
      <c r="G41" s="0" t="n">
        <f aca="false">TANH($E$1*B41*86.4/$G$1)</f>
        <v>0.106950042399539</v>
      </c>
      <c r="H41" s="0" t="n">
        <f aca="false">COSH($E$1*B41*86.4/$G$1)</f>
        <v>1.0057686912943</v>
      </c>
      <c r="I41" s="0" t="n">
        <f aca="false">(($G$1^2*1000)/($E$1*$I$1))*(H41-1)</f>
        <v>0.00559400614558678</v>
      </c>
      <c r="J41" s="0" t="n">
        <f aca="false">$J$3*EXP(-$E$1*B41*86.4/$G$1)</f>
        <v>898.201687116243</v>
      </c>
      <c r="K41" s="0" t="n">
        <f aca="false">J40-J41</f>
        <v>2.54125945693022</v>
      </c>
    </row>
    <row r="42" customFormat="false" ht="12.8" hidden="false" customHeight="false" outlineLevel="0" collapsed="false">
      <c r="A42" s="0" t="n">
        <v>1</v>
      </c>
      <c r="B42" s="0" t="n">
        <f aca="false">B41+A42</f>
        <v>39</v>
      </c>
      <c r="C42" s="0" t="n">
        <f aca="false">$C$3+($G$1/($E$1*86.4))*SINH($E$1*B42*86.4/$G$1)</f>
        <v>44643.0789640099</v>
      </c>
      <c r="D42" s="0" t="n">
        <f aca="false">C42-$C$3-B42</f>
        <v>0.0789640098955715</v>
      </c>
      <c r="E42" s="0" t="n">
        <f aca="false">$E$1*B42*86.4</f>
        <v>33055.776</v>
      </c>
      <c r="F42" s="0" t="n">
        <f aca="false">$G$1*G42</f>
        <v>32922.646458661</v>
      </c>
      <c r="G42" s="0" t="n">
        <f aca="false">TANH($E$1*B42*86.4/$G$1)</f>
        <v>0.109742154862203</v>
      </c>
      <c r="H42" s="0" t="n">
        <f aca="false">COSH($E$1*B42*86.4/$G$1)</f>
        <v>1.00607661273382</v>
      </c>
      <c r="I42" s="0" t="n">
        <f aca="false">(($G$1^2*1000)/($E$1*$I$1))*(H42-1)</f>
        <v>0.0058926032341099</v>
      </c>
      <c r="J42" s="0" t="n">
        <f aca="false">$J$3*EXP(-$E$1*B42*86.4/$G$1)</f>
        <v>895.667597295946</v>
      </c>
      <c r="K42" s="0" t="n">
        <f aca="false">J41-J42</f>
        <v>2.53408982029646</v>
      </c>
    </row>
    <row r="43" customFormat="false" ht="12.8" hidden="false" customHeight="false" outlineLevel="0" collapsed="false">
      <c r="A43" s="0" t="n">
        <v>1</v>
      </c>
      <c r="B43" s="0" t="n">
        <f aca="false">B42+A43</f>
        <v>40</v>
      </c>
      <c r="C43" s="0" t="n">
        <f aca="false">$C$3+($G$1/($E$1*86.4))*SINH($E$1*B43*86.4/$G$1)</f>
        <v>44644.0851979294</v>
      </c>
      <c r="D43" s="0" t="n">
        <f aca="false">C43-$C$3-B43</f>
        <v>0.0851979293729528</v>
      </c>
      <c r="E43" s="0" t="n">
        <f aca="false">$E$1*B43*86.4</f>
        <v>33903.36</v>
      </c>
      <c r="F43" s="0" t="n">
        <f aca="false">$G$1*G43</f>
        <v>33759.760939279</v>
      </c>
      <c r="G43" s="0" t="n">
        <f aca="false">TANH($E$1*B43*86.4/$G$1)</f>
        <v>0.112532536464263</v>
      </c>
      <c r="H43" s="0" t="n">
        <f aca="false">COSH($E$1*B43*86.4/$G$1)</f>
        <v>1.00639256489055</v>
      </c>
      <c r="I43" s="0" t="n">
        <f aca="false">(($G$1^2*1000)/($E$1*$I$1))*(H43-1)</f>
        <v>0.00619898785694307</v>
      </c>
      <c r="J43" s="0" t="n">
        <f aca="false">$J$3*EXP(-$E$1*B43*86.4/$G$1)</f>
        <v>893.14065688464</v>
      </c>
      <c r="K43" s="0" t="n">
        <f aca="false">J42-J43</f>
        <v>2.52694041130576</v>
      </c>
    </row>
    <row r="44" customFormat="false" ht="12.8" hidden="false" customHeight="false" outlineLevel="0" collapsed="false">
      <c r="A44" s="0" t="n">
        <v>1</v>
      </c>
      <c r="B44" s="0" t="n">
        <f aca="false">B43+A44</f>
        <v>41</v>
      </c>
      <c r="C44" s="0" t="n">
        <f aca="false">$C$3+($G$1/($E$1*86.4))*SINH($E$1*B44*86.4/$G$1)</f>
        <v>44645.0917518174</v>
      </c>
      <c r="D44" s="0" t="n">
        <f aca="false">C44-$C$3-B44</f>
        <v>0.0917518174246652</v>
      </c>
      <c r="E44" s="0" t="n">
        <f aca="false">$E$1*B44*86.4</f>
        <v>34750.944</v>
      </c>
      <c r="F44" s="0" t="n">
        <f aca="false">$G$1*G44</f>
        <v>34596.3432929622</v>
      </c>
      <c r="G44" s="0" t="n">
        <f aca="false">TANH($E$1*B44*86.4/$G$1)</f>
        <v>0.115321144309874</v>
      </c>
      <c r="H44" s="0" t="n">
        <f aca="false">COSH($E$1*B44*86.4/$G$1)</f>
        <v>1.00671655028648</v>
      </c>
      <c r="I44" s="0" t="n">
        <f aca="false">(($G$1^2*1000)/($E$1*$I$1))*(H44-1)</f>
        <v>0.00651316245971369</v>
      </c>
      <c r="J44" s="0" t="n">
        <f aca="false">$J$3*EXP(-$E$1*B44*86.4/$G$1)</f>
        <v>890.62084571175</v>
      </c>
      <c r="K44" s="0" t="n">
        <f aca="false">J43-J44</f>
        <v>2.51981117289017</v>
      </c>
    </row>
    <row r="45" customFormat="false" ht="12.8" hidden="false" customHeight="false" outlineLevel="0" collapsed="false">
      <c r="A45" s="0" t="n">
        <v>1</v>
      </c>
      <c r="B45" s="0" t="n">
        <f aca="false">B44+A45</f>
        <v>42</v>
      </c>
      <c r="C45" s="0" t="n">
        <f aca="false">$C$3+($G$1/($E$1*86.4))*SINH($E$1*B45*86.4/$G$1)</f>
        <v>44646.0986337086</v>
      </c>
      <c r="D45" s="0" t="n">
        <f aca="false">C45-$C$3-B45</f>
        <v>0.0986337085560081</v>
      </c>
      <c r="E45" s="0" t="n">
        <f aca="false">$E$1*B45*86.4</f>
        <v>35598.528</v>
      </c>
      <c r="F45" s="0" t="n">
        <f aca="false">$G$1*G45</f>
        <v>35432.3806842918</v>
      </c>
      <c r="G45" s="0" t="n">
        <f aca="false">TANH($E$1*B45*86.4/$G$1)</f>
        <v>0.118107935614306</v>
      </c>
      <c r="H45" s="0" t="n">
        <f aca="false">COSH($E$1*B45*86.4/$G$1)</f>
        <v>1.00704857150772</v>
      </c>
      <c r="I45" s="0" t="n">
        <f aca="false">(($G$1^2*1000)/($E$1*$I$1))*(H45-1)</f>
        <v>0.00683512955022971</v>
      </c>
      <c r="J45" s="0" t="n">
        <f aca="false">$J$3*EXP(-$E$1*B45*86.4/$G$1)</f>
        <v>888.108143663608</v>
      </c>
      <c r="K45" s="0" t="n">
        <f aca="false">J44-J45</f>
        <v>2.51270204814227</v>
      </c>
    </row>
    <row r="46" customFormat="false" ht="12.8" hidden="false" customHeight="false" outlineLevel="0" collapsed="false">
      <c r="A46" s="0" t="n">
        <v>1</v>
      </c>
      <c r="B46" s="0" t="n">
        <f aca="false">B45+A46</f>
        <v>43</v>
      </c>
      <c r="C46" s="0" t="n">
        <f aca="false">$C$3+($G$1/($E$1*86.4))*SINH($E$1*B46*86.4/$G$1)</f>
        <v>44647.1058516399</v>
      </c>
      <c r="D46" s="0" t="n">
        <f aca="false">C46-$C$3-B46</f>
        <v>0.105851639928005</v>
      </c>
      <c r="E46" s="0" t="n">
        <f aca="false">$E$1*B46*86.4</f>
        <v>36446.112</v>
      </c>
      <c r="F46" s="0" t="n">
        <f aca="false">$G$1*G46</f>
        <v>36267.8603119539</v>
      </c>
      <c r="G46" s="0" t="n">
        <f aca="false">TANH($E$1*B46*86.4/$G$1)</f>
        <v>0.120892867706513</v>
      </c>
      <c r="H46" s="0" t="n">
        <f aca="false">COSH($E$1*B46*86.4/$G$1)</f>
        <v>1.00738863120455</v>
      </c>
      <c r="I46" s="0" t="n">
        <f aca="false">(($G$1^2*1000)/($E$1*$I$1))*(H46-1)</f>
        <v>0.00716489169850093</v>
      </c>
      <c r="J46" s="0" t="n">
        <f aca="false">$J$3*EXP(-$E$1*B46*86.4/$G$1)</f>
        <v>885.602530683292</v>
      </c>
      <c r="K46" s="0" t="n">
        <f aca="false">J45-J46</f>
        <v>2.50561298031619</v>
      </c>
    </row>
    <row r="47" customFormat="false" ht="12.8" hidden="false" customHeight="false" outlineLevel="0" collapsed="false">
      <c r="A47" s="0" t="n">
        <v>1</v>
      </c>
      <c r="B47" s="0" t="n">
        <f aca="false">B46+A47</f>
        <v>44</v>
      </c>
      <c r="C47" s="0" t="n">
        <f aca="false">$C$3+($G$1/($E$1*86.4))*SINH($E$1*B47*86.4/$G$1)</f>
        <v>44648.1134136514</v>
      </c>
      <c r="D47" s="0" t="n">
        <f aca="false">C47-$C$3-B47</f>
        <v>0.113413651364681</v>
      </c>
      <c r="E47" s="0" t="n">
        <f aca="false">$E$1*B47*86.4</f>
        <v>37293.696</v>
      </c>
      <c r="F47" s="0" t="n">
        <f aca="false">$G$1*G47</f>
        <v>37102.7694095064</v>
      </c>
      <c r="G47" s="0" t="n">
        <f aca="false">TANH($E$1*B47*86.4/$G$1)</f>
        <v>0.123675898031688</v>
      </c>
      <c r="H47" s="0" t="n">
        <f aca="false">COSH($E$1*B47*86.4/$G$1)</f>
        <v>1.00773673209139</v>
      </c>
      <c r="I47" s="0" t="n">
        <f aca="false">(($G$1^2*1000)/($E$1*$I$1))*(H47-1)</f>
        <v>0.00750245153675923</v>
      </c>
      <c r="J47" s="0" t="n">
        <f aca="false">$J$3*EXP(-$E$1*B47*86.4/$G$1)</f>
        <v>883.103986770467</v>
      </c>
      <c r="K47" s="0" t="n">
        <f aca="false">J46-J47</f>
        <v>2.49854391282486</v>
      </c>
    </row>
    <row r="48" customFormat="false" ht="12.8" hidden="false" customHeight="false" outlineLevel="0" collapsed="false">
      <c r="A48" s="0" t="n">
        <v>1</v>
      </c>
      <c r="B48" s="0" t="n">
        <f aca="false">B47+A48</f>
        <v>45</v>
      </c>
      <c r="C48" s="0" t="n">
        <f aca="false">$C$3+($G$1/($E$1*86.4))*SINH($E$1*B48*86.4/$G$1)</f>
        <v>44649.1213277854</v>
      </c>
      <c r="D48" s="0" t="n">
        <f aca="false">C48-$C$3-B48</f>
        <v>0.121327785433095</v>
      </c>
      <c r="E48" s="0" t="n">
        <f aca="false">$E$1*B48*86.4</f>
        <v>38141.28</v>
      </c>
      <c r="F48" s="0" t="n">
        <f aca="false">$G$1*G48</f>
        <v>37937.0952461406</v>
      </c>
      <c r="G48" s="0" t="n">
        <f aca="false">TANH($E$1*B48*86.4/$G$1)</f>
        <v>0.126456984153802</v>
      </c>
      <c r="H48" s="0" t="n">
        <f aca="false">COSH($E$1*B48*86.4/$G$1)</f>
        <v>1.00809287694685</v>
      </c>
      <c r="I48" s="0" t="n">
        <f aca="false">(($G$1^2*1000)/($E$1*$I$1))*(H48-1)</f>
        <v>0.00784781175947843</v>
      </c>
      <c r="J48" s="0" t="n">
        <f aca="false">$J$3*EXP(-$E$1*B48*86.4/$G$1)</f>
        <v>880.612491981225</v>
      </c>
      <c r="K48" s="0" t="n">
        <f aca="false">J47-J48</f>
        <v>2.49149478924176</v>
      </c>
    </row>
    <row r="49" customFormat="false" ht="12.8" hidden="false" customHeight="false" outlineLevel="0" collapsed="false">
      <c r="A49" s="0" t="n">
        <v>1</v>
      </c>
      <c r="B49" s="0" t="n">
        <f aca="false">B48+A49</f>
        <v>46</v>
      </c>
      <c r="C49" s="0" t="n">
        <f aca="false">$C$3+($G$1/($E$1*86.4))*SINH($E$1*B49*86.4/$G$1)</f>
        <v>44650.1296020875</v>
      </c>
      <c r="D49" s="0" t="n">
        <f aca="false">C49-$C$3-B49</f>
        <v>0.129602087523381</v>
      </c>
      <c r="E49" s="0" t="n">
        <f aca="false">$E$1*B49*86.4</f>
        <v>38988.864</v>
      </c>
      <c r="F49" s="0" t="n">
        <f aca="false">$G$1*G49</f>
        <v>38770.8251274382</v>
      </c>
      <c r="G49" s="0" t="n">
        <f aca="false">TANH($E$1*B49*86.4/$G$1)</f>
        <v>0.129236083758127</v>
      </c>
      <c r="H49" s="0" t="n">
        <f aca="false">COSH($E$1*B49*86.4/$G$1)</f>
        <v>1.00845706861377</v>
      </c>
      <c r="I49" s="0" t="n">
        <f aca="false">(($G$1^2*1000)/($E$1*$I$1))*(H49-1)</f>
        <v>0.00820097512339747</v>
      </c>
      <c r="J49" s="0" t="n">
        <f aca="false">$J$3*EXP(-$E$1*B49*86.4/$G$1)</f>
        <v>878.128026427926</v>
      </c>
      <c r="K49" s="0" t="n">
        <f aca="false">J48-J49</f>
        <v>2.48446555329917</v>
      </c>
    </row>
    <row r="50" customFormat="false" ht="12.8" hidden="false" customHeight="false" outlineLevel="0" collapsed="false">
      <c r="A50" s="0" t="n">
        <v>1</v>
      </c>
      <c r="B50" s="0" t="n">
        <f aca="false">B49+A50</f>
        <v>47</v>
      </c>
      <c r="C50" s="0" t="n">
        <f aca="false">$C$3+($G$1/($E$1*86.4))*SINH($E$1*B50*86.4/$G$1)</f>
        <v>44651.1382446059</v>
      </c>
      <c r="D50" s="0" t="n">
        <f aca="false">C50-$C$3-B50</f>
        <v>0.138244605899672</v>
      </c>
      <c r="E50" s="0" t="n">
        <f aca="false">$E$1*B50*86.4</f>
        <v>39836.448</v>
      </c>
      <c r="F50" s="0" t="n">
        <f aca="false">$G$1*G50</f>
        <v>39603.946396124</v>
      </c>
      <c r="G50" s="0" t="n">
        <f aca="false">TANH($E$1*B50*86.4/$G$1)</f>
        <v>0.132013154653747</v>
      </c>
      <c r="H50" s="0" t="n">
        <f aca="false">COSH($E$1*B50*86.4/$G$1)</f>
        <v>1.00882930999919</v>
      </c>
      <c r="I50" s="0" t="n">
        <f aca="false">(($G$1^2*1000)/($E$1*$I$1))*(H50-1)</f>
        <v>0.00856194444754136</v>
      </c>
      <c r="J50" s="0" t="n">
        <f aca="false">$J$3*EXP(-$E$1*B50*86.4/$G$1)</f>
        <v>875.650570279038</v>
      </c>
      <c r="K50" s="0" t="n">
        <f aca="false">J49-J50</f>
        <v>2.47745614888845</v>
      </c>
    </row>
    <row r="51" customFormat="false" ht="12.8" hidden="false" customHeight="false" outlineLevel="0" collapsed="false">
      <c r="A51" s="0" t="n">
        <v>1</v>
      </c>
      <c r="B51" s="0" t="n">
        <f aca="false">B50+A51</f>
        <v>48</v>
      </c>
      <c r="C51" s="0" t="n">
        <f aca="false">$C$3+($G$1/($E$1*86.4))*SINH($E$1*B51*86.4/$G$1)</f>
        <v>44652.1472633918</v>
      </c>
      <c r="D51" s="0" t="n">
        <f aca="false">C51-$C$3-B51</f>
        <v>0.147263391751039</v>
      </c>
      <c r="E51" s="0" t="n">
        <f aca="false">$E$1*B51*86.4</f>
        <v>40684.032</v>
      </c>
      <c r="F51" s="0" t="n">
        <f aca="false">$G$1*G51</f>
        <v>40436.4464328127</v>
      </c>
      <c r="G51" s="0" t="n">
        <f aca="false">TANH($E$1*B51*86.4/$G$1)</f>
        <v>0.134788154776042</v>
      </c>
      <c r="H51" s="0" t="n">
        <f aca="false">COSH($E$1*B51*86.4/$G$1)</f>
        <v>1.00920960407443</v>
      </c>
      <c r="I51" s="0" t="n">
        <f aca="false">(($G$1^2*1000)/($E$1*$I$1))*(H51-1)</f>
        <v>0.00893072261324377</v>
      </c>
      <c r="J51" s="0" t="n">
        <f aca="false">$J$3*EXP(-$E$1*B51*86.4/$G$1)</f>
        <v>873.180103758979</v>
      </c>
      <c r="K51" s="0" t="n">
        <f aca="false">J50-J51</f>
        <v>2.47046652005861</v>
      </c>
    </row>
    <row r="52" customFormat="false" ht="12.8" hidden="false" customHeight="false" outlineLevel="0" collapsed="false">
      <c r="A52" s="0" t="n">
        <v>1</v>
      </c>
      <c r="B52" s="0" t="n">
        <f aca="false">B51+A52</f>
        <v>49</v>
      </c>
      <c r="C52" s="0" t="n">
        <f aca="false">$C$3+($G$1/($E$1*86.4))*SINH($E$1*B52*86.4/$G$1)</f>
        <v>44653.1566664993</v>
      </c>
      <c r="D52" s="0" t="n">
        <f aca="false">C52-$C$3-B52</f>
        <v>0.156666499286075</v>
      </c>
      <c r="E52" s="0" t="n">
        <f aca="false">$E$1*B52*86.4</f>
        <v>41531.616</v>
      </c>
      <c r="F52" s="0" t="n">
        <f aca="false">$G$1*G52</f>
        <v>41268.3126567522</v>
      </c>
      <c r="G52" s="0" t="n">
        <f aca="false">TANH($E$1*B52*86.4/$G$1)</f>
        <v>0.137561042189174</v>
      </c>
      <c r="H52" s="0" t="n">
        <f aca="false">COSH($E$1*B52*86.4/$G$1)</f>
        <v>1.00959795387507</v>
      </c>
      <c r="I52" s="0" t="n">
        <f aca="false">(($G$1^2*1000)/($E$1*$I$1))*(H52-1)</f>
        <v>0.00930731256417047</v>
      </c>
      <c r="J52" s="0" t="n">
        <f aca="false">$J$3*EXP(-$E$1*B52*86.4/$G$1)</f>
        <v>870.716607147962</v>
      </c>
      <c r="K52" s="0" t="n">
        <f aca="false">J51-J52</f>
        <v>2.46349661101738</v>
      </c>
    </row>
    <row r="53" customFormat="false" ht="12.8" hidden="false" customHeight="false" outlineLevel="0" collapsed="false">
      <c r="A53" s="0" t="n">
        <v>1</v>
      </c>
      <c r="B53" s="0" t="n">
        <f aca="false">B52+A53</f>
        <v>50</v>
      </c>
      <c r="C53" s="0" t="n">
        <f aca="false">$C$3+($G$1/($E$1*86.4))*SINH($E$1*B53*86.4/$G$1)</f>
        <v>44654.1664619858</v>
      </c>
      <c r="D53" s="0" t="n">
        <f aca="false">C53-$C$3-B53</f>
        <v>0.16646198577655</v>
      </c>
      <c r="E53" s="0" t="n">
        <f aca="false">$E$1*B53*86.4</f>
        <v>42379.2</v>
      </c>
      <c r="F53" s="0" t="n">
        <f aca="false">$G$1*G53</f>
        <v>42099.5325265601</v>
      </c>
      <c r="G53" s="0" t="n">
        <f aca="false">TANH($E$1*B53*86.4/$G$1)</f>
        <v>0.140331775088534</v>
      </c>
      <c r="H53" s="0" t="n">
        <f aca="false">COSH($E$1*B53*86.4/$G$1)</f>
        <v>1.00999436250101</v>
      </c>
      <c r="I53" s="0" t="n">
        <f aca="false">(($G$1^2*1000)/($E$1*$I$1))*(H53-1)</f>
        <v>0.00969171730634221</v>
      </c>
      <c r="J53" s="0" t="n">
        <f aca="false">$J$3*EXP(-$E$1*B53*86.4/$G$1)</f>
        <v>868.260060781832</v>
      </c>
      <c r="K53" s="0" t="n">
        <f aca="false">J52-J53</f>
        <v>2.45654636612949</v>
      </c>
    </row>
    <row r="54" customFormat="false" ht="12.8" hidden="false" customHeight="false" outlineLevel="0" collapsed="false">
      <c r="A54" s="0" t="n">
        <v>1</v>
      </c>
      <c r="B54" s="0" t="n">
        <f aca="false">B53+A54</f>
        <v>51</v>
      </c>
      <c r="C54" s="0" t="n">
        <f aca="false">$C$3+($G$1/($E$1*86.4))*SINH($E$1*B54*86.4/$G$1)</f>
        <v>44655.1766579116</v>
      </c>
      <c r="D54" s="0" t="n">
        <f aca="false">C54-$C$3-B54</f>
        <v>0.176657911622897</v>
      </c>
      <c r="E54" s="0" t="n">
        <f aca="false">$E$1*B54*86.4</f>
        <v>43226.784</v>
      </c>
      <c r="F54" s="0" t="n">
        <f aca="false">$G$1*G54</f>
        <v>42930.0935409567</v>
      </c>
      <c r="G54" s="0" t="n">
        <f aca="false">TANH($E$1*B54*86.4/$G$1)</f>
        <v>0.143100311803189</v>
      </c>
      <c r="H54" s="0" t="n">
        <f aca="false">COSH($E$1*B54*86.4/$G$1)</f>
        <v>1.01039883311646</v>
      </c>
      <c r="I54" s="0" t="n">
        <f aca="false">(($G$1^2*1000)/($E$1*$I$1))*(H54-1)</f>
        <v>0.0100839399081594</v>
      </c>
      <c r="J54" s="0" t="n">
        <f aca="false">$J$3*EXP(-$E$1*B54*86.4/$G$1)</f>
        <v>865.810445051916</v>
      </c>
      <c r="K54" s="0" t="n">
        <f aca="false">J53-J54</f>
        <v>2.44961572991622</v>
      </c>
    </row>
    <row r="55" customFormat="false" ht="12.8" hidden="false" customHeight="false" outlineLevel="0" collapsed="false">
      <c r="A55" s="0" t="n">
        <v>1</v>
      </c>
      <c r="B55" s="0" t="n">
        <f aca="false">B54+A55</f>
        <v>52</v>
      </c>
      <c r="C55" s="0" t="n">
        <f aca="false">$C$3+($G$1/($E$1*86.4))*SINH($E$1*B55*86.4/$G$1)</f>
        <v>44656.1872623404</v>
      </c>
      <c r="D55" s="0" t="n">
        <f aca="false">C55-$C$3-B55</f>
        <v>0.187262340419693</v>
      </c>
      <c r="E55" s="0" t="n">
        <f aca="false">$E$1*B55*86.4</f>
        <v>44074.368</v>
      </c>
      <c r="F55" s="0" t="n">
        <f aca="false">$G$1*G55</f>
        <v>43759.9832394917</v>
      </c>
      <c r="G55" s="0" t="n">
        <f aca="false">TANH($E$1*B55*86.4/$G$1)</f>
        <v>0.145866610798306</v>
      </c>
      <c r="H55" s="0" t="n">
        <f aca="false">COSH($E$1*B55*86.4/$G$1)</f>
        <v>1.01081136894999</v>
      </c>
      <c r="I55" s="0" t="n">
        <f aca="false">(($G$1^2*1000)/($E$1*$I$1))*(H55-1)</f>
        <v>0.0104839835004264</v>
      </c>
      <c r="J55" s="0" t="n">
        <f aca="false">$J$3*EXP(-$E$1*B55*86.4/$G$1)</f>
        <v>863.36774040486</v>
      </c>
      <c r="K55" s="0" t="n">
        <f aca="false">J54-J55</f>
        <v>2.44270464705596</v>
      </c>
    </row>
    <row r="56" customFormat="false" ht="12.8" hidden="false" customHeight="false" outlineLevel="0" collapsed="false">
      <c r="A56" s="0" t="n">
        <v>1</v>
      </c>
      <c r="B56" s="0" t="n">
        <f aca="false">B55+A56</f>
        <v>53</v>
      </c>
      <c r="C56" s="0" t="n">
        <f aca="false">$C$3+($G$1/($E$1*86.4))*SINH($E$1*B56*86.4/$G$1)</f>
        <v>44657.198283339</v>
      </c>
      <c r="D56" s="0" t="n">
        <f aca="false">C56-$C$3-B56</f>
        <v>0.198283339021145</v>
      </c>
      <c r="E56" s="0" t="n">
        <f aca="false">$E$1*B56*86.4</f>
        <v>44921.952</v>
      </c>
      <c r="F56" s="0" t="n">
        <f aca="false">$G$1*G56</f>
        <v>44589.1892032661</v>
      </c>
      <c r="G56" s="0" t="n">
        <f aca="false">TANH($E$1*B56*86.4/$G$1)</f>
        <v>0.148630630677554</v>
      </c>
      <c r="H56" s="0" t="n">
        <f aca="false">COSH($E$1*B56*86.4/$G$1)</f>
        <v>1.01123197329455</v>
      </c>
      <c r="I56" s="0" t="n">
        <f aca="false">(($G$1^2*1000)/($E$1*$I$1))*(H56-1)</f>
        <v>0.0108918512763757</v>
      </c>
      <c r="J56" s="0" t="n">
        <f aca="false">$J$3*EXP(-$E$1*B56*86.4/$G$1)</f>
        <v>860.931927342477</v>
      </c>
      <c r="K56" s="0" t="n">
        <f aca="false">J55-J56</f>
        <v>2.4358130623832</v>
      </c>
    </row>
    <row r="57" customFormat="false" ht="12.8" hidden="false" customHeight="false" outlineLevel="0" collapsed="false">
      <c r="A57" s="0" t="n">
        <v>1</v>
      </c>
      <c r="B57" s="0" t="n">
        <f aca="false">B56+A57</f>
        <v>54</v>
      </c>
      <c r="C57" s="0" t="n">
        <f aca="false">$C$3+($G$1/($E$1*86.4))*SINH($E$1*B57*86.4/$G$1)</f>
        <v>44658.2097289776</v>
      </c>
      <c r="D57" s="0" t="n">
        <f aca="false">C57-$C$3-B57</f>
        <v>0.209728977628401</v>
      </c>
      <c r="E57" s="0" t="n">
        <f aca="false">$E$1*B57*86.4</f>
        <v>45769.536</v>
      </c>
      <c r="F57" s="0" t="n">
        <f aca="false">$G$1*G57</f>
        <v>45417.6990556483</v>
      </c>
      <c r="G57" s="0" t="n">
        <f aca="false">TANH($E$1*B57*86.4/$G$1)</f>
        <v>0.151392330185494</v>
      </c>
      <c r="H57" s="0" t="n">
        <f aca="false">COSH($E$1*B57*86.4/$G$1)</f>
        <v>1.0116606495075</v>
      </c>
      <c r="I57" s="0" t="n">
        <f aca="false">(($G$1^2*1000)/($E$1*$I$1))*(H57-1)</f>
        <v>0.0113075464916948</v>
      </c>
      <c r="J57" s="0" t="n">
        <f aca="false">$J$3*EXP(-$E$1*B57*86.4/$G$1)</f>
        <v>858.502986421589</v>
      </c>
      <c r="K57" s="0" t="n">
        <f aca="false">J56-J57</f>
        <v>2.42894092088739</v>
      </c>
    </row>
    <row r="58" customFormat="false" ht="12.8" hidden="false" customHeight="false" outlineLevel="0" collapsed="false">
      <c r="A58" s="0" t="n">
        <v>1</v>
      </c>
      <c r="B58" s="0" t="n">
        <f aca="false">B57+A58</f>
        <v>55</v>
      </c>
      <c r="C58" s="0" t="n">
        <f aca="false">$C$3+($G$1/($E$1*86.4))*SINH($E$1*B58*86.4/$G$1)</f>
        <v>44659.2216073298</v>
      </c>
      <c r="D58" s="0" t="n">
        <f aca="false">C58-$C$3-B58</f>
        <v>0.221607329804101</v>
      </c>
      <c r="E58" s="0" t="n">
        <f aca="false">$E$1*B58*86.4</f>
        <v>46617.12</v>
      </c>
      <c r="F58" s="0" t="n">
        <f aca="false">$G$1*G58</f>
        <v>46245.5004629849</v>
      </c>
      <c r="G58" s="0" t="n">
        <f aca="false">TANH($E$1*B58*86.4/$G$1)</f>
        <v>0.15415166820995</v>
      </c>
      <c r="H58" s="0" t="n">
        <f aca="false">COSH($E$1*B58*86.4/$G$1)</f>
        <v>1.01209740101062</v>
      </c>
      <c r="I58" s="0" t="n">
        <f aca="false">(($G$1^2*1000)/($E$1*$I$1))*(H58-1)</f>
        <v>0.0117310724645513</v>
      </c>
      <c r="J58" s="0" t="n">
        <f aca="false">$J$3*EXP(-$E$1*B58*86.4/$G$1)</f>
        <v>856.080898253875</v>
      </c>
      <c r="K58" s="0" t="n">
        <f aca="false">J57-J58</f>
        <v>2.42208816771404</v>
      </c>
    </row>
    <row r="59" customFormat="false" ht="12.8" hidden="false" customHeight="false" outlineLevel="0" collapsed="false">
      <c r="A59" s="0" t="n">
        <v>1</v>
      </c>
      <c r="B59" s="0" t="n">
        <f aca="false">B58+A59</f>
        <v>56</v>
      </c>
      <c r="C59" s="0" t="n">
        <f aca="false">$C$3+($G$1/($E$1*86.4))*SINH($E$1*B59*86.4/$G$1)</f>
        <v>44660.2339264726</v>
      </c>
      <c r="D59" s="0" t="n">
        <f aca="false">C59-$C$3-B59</f>
        <v>0.23392647257424</v>
      </c>
      <c r="E59" s="0" t="n">
        <f aca="false">$E$1*B59*86.4</f>
        <v>47464.704</v>
      </c>
      <c r="F59" s="0" t="n">
        <f aca="false">$G$1*G59</f>
        <v>47072.5811353065</v>
      </c>
      <c r="G59" s="0" t="n">
        <f aca="false">TANH($E$1*B59*86.4/$G$1)</f>
        <v>0.156908603784355</v>
      </c>
      <c r="H59" s="0" t="n">
        <f aca="false">COSH($E$1*B59*86.4/$G$1)</f>
        <v>1.01254223129014</v>
      </c>
      <c r="I59" s="0" t="n">
        <f aca="false">(($G$1^2*1000)/($E$1*$I$1))*(H59-1)</f>
        <v>0.0121624325756191</v>
      </c>
      <c r="J59" s="0" t="n">
        <f aca="false">$J$3*EXP(-$E$1*B59*86.4/$G$1)</f>
        <v>853.665643505712</v>
      </c>
      <c r="K59" s="0" t="n">
        <f aca="false">J58-J59</f>
        <v>2.41525474816285</v>
      </c>
    </row>
    <row r="60" customFormat="false" ht="12.8" hidden="false" customHeight="false" outlineLevel="0" collapsed="false">
      <c r="A60" s="0" t="n">
        <v>1</v>
      </c>
      <c r="B60" s="0" t="n">
        <f aca="false">B59+A60</f>
        <v>57</v>
      </c>
      <c r="C60" s="0" t="n">
        <f aca="false">$C$3+($G$1/($E$1*86.4))*SINH($E$1*B60*86.4/$G$1)</f>
        <v>44661.2466944865</v>
      </c>
      <c r="D60" s="0" t="n">
        <f aca="false">C60-$C$3-B60</f>
        <v>0.246694486486376</v>
      </c>
      <c r="E60" s="0" t="n">
        <f aca="false">$E$1*B60*86.4</f>
        <v>48312.288</v>
      </c>
      <c r="F60" s="0" t="n">
        <f aca="false">$G$1*G60</f>
        <v>47898.9288270266</v>
      </c>
      <c r="G60" s="0" t="n">
        <f aca="false">TANH($E$1*B60*86.4/$G$1)</f>
        <v>0.159663096090089</v>
      </c>
      <c r="H60" s="0" t="n">
        <f aca="false">COSH($E$1*B60*86.4/$G$1)</f>
        <v>1.01299514389681</v>
      </c>
      <c r="I60" s="0" t="n">
        <f aca="false">(($G$1^2*1000)/($E$1*$I$1))*(H60-1)</f>
        <v>0.0126016302681063</v>
      </c>
      <c r="J60" s="0" t="n">
        <f aca="false">$J$3*EXP(-$E$1*B60*86.4/$G$1)</f>
        <v>851.257202898024</v>
      </c>
      <c r="K60" s="0" t="n">
        <f aca="false">J59-J60</f>
        <v>2.40844060768814</v>
      </c>
    </row>
    <row r="61" customFormat="false" ht="12.8" hidden="false" customHeight="false" outlineLevel="0" collapsed="false">
      <c r="A61" s="0" t="n">
        <v>1</v>
      </c>
      <c r="B61" s="0" t="n">
        <f aca="false">B60+A61</f>
        <v>58</v>
      </c>
      <c r="C61" s="0" t="n">
        <f aca="false">$C$3+($G$1/($E$1*86.4))*SINH($E$1*B61*86.4/$G$1)</f>
        <v>44662.2599194557</v>
      </c>
      <c r="D61" s="0" t="n">
        <f aca="false">C61-$C$3-B61</f>
        <v>0.259919455682393</v>
      </c>
      <c r="E61" s="0" t="n">
        <f aca="false">$E$1*B61*86.4</f>
        <v>49159.872</v>
      </c>
      <c r="F61" s="0" t="n">
        <f aca="false">$G$1*G61</f>
        <v>48724.5313376358</v>
      </c>
      <c r="G61" s="0" t="n">
        <f aca="false">TANH($E$1*B61*86.4/$G$1)</f>
        <v>0.162415104458786</v>
      </c>
      <c r="H61" s="0" t="n">
        <f aca="false">COSH($E$1*B61*86.4/$G$1)</f>
        <v>1.01345614244587</v>
      </c>
      <c r="I61" s="0" t="n">
        <f aca="false">(($G$1^2*1000)/($E$1*$I$1))*(H61-1)</f>
        <v>0.0130486690477825</v>
      </c>
      <c r="J61" s="0" t="n">
        <f aca="false">$J$3*EXP(-$E$1*B61*86.4/$G$1)</f>
        <v>848.855557206127</v>
      </c>
      <c r="K61" s="0" t="n">
        <f aca="false">J60-J61</f>
        <v>2.40164569189756</v>
      </c>
    </row>
    <row r="62" customFormat="false" ht="12.8" hidden="false" customHeight="false" outlineLevel="0" collapsed="false">
      <c r="A62" s="0" t="n">
        <v>1</v>
      </c>
      <c r="B62" s="0" t="n">
        <f aca="false">B61+A62</f>
        <v>59</v>
      </c>
      <c r="C62" s="0" t="n">
        <f aca="false">$C$3+($G$1/($E$1*86.4))*SINH($E$1*B62*86.4/$G$1)</f>
        <v>44663.2736094679</v>
      </c>
      <c r="D62" s="0" t="n">
        <f aca="false">C62-$C$3-B62</f>
        <v>0.273609467920323</v>
      </c>
      <c r="E62" s="0" t="n">
        <f aca="false">$E$1*B62*86.4</f>
        <v>50007.456</v>
      </c>
      <c r="F62" s="0" t="n">
        <f aca="false">$G$1*G62</f>
        <v>49549.3765123902</v>
      </c>
      <c r="G62" s="0" t="n">
        <f aca="false">TANH($E$1*B62*86.4/$G$1)</f>
        <v>0.165164588374634</v>
      </c>
      <c r="H62" s="0" t="n">
        <f aca="false">COSH($E$1*B62*86.4/$G$1)</f>
        <v>1.0139252306171</v>
      </c>
      <c r="I62" s="0" t="n">
        <f aca="false">(($G$1^2*1000)/($E$1*$I$1))*(H62-1)</f>
        <v>0.0135035524830058</v>
      </c>
      <c r="J62" s="0" t="n">
        <f aca="false">$J$3*EXP(-$E$1*B62*86.4/$G$1)</f>
        <v>846.460687259573</v>
      </c>
      <c r="K62" s="0" t="n">
        <f aca="false">J61-J62</f>
        <v>2.39486994655329</v>
      </c>
    </row>
    <row r="63" customFormat="false" ht="12.8" hidden="false" customHeight="false" outlineLevel="0" collapsed="false">
      <c r="A63" s="0" t="n">
        <v>1</v>
      </c>
      <c r="B63" s="0" t="n">
        <f aca="false">B62+A63</f>
        <v>60</v>
      </c>
      <c r="C63" s="0" t="n">
        <f aca="false">$C$3+($G$1/($E$1*86.4))*SINH($E$1*B63*86.4/$G$1)</f>
        <v>44664.2877726147</v>
      </c>
      <c r="D63" s="0" t="n">
        <f aca="false">C63-$C$3-B63</f>
        <v>0.287772614705318</v>
      </c>
      <c r="E63" s="0" t="n">
        <f aca="false">$E$1*B63*86.4</f>
        <v>50855.04</v>
      </c>
      <c r="F63" s="0" t="n">
        <f aca="false">$G$1*G63</f>
        <v>50373.4522429929</v>
      </c>
      <c r="G63" s="0" t="n">
        <f aca="false">TANH($E$1*B63*86.4/$G$1)</f>
        <v>0.167911507476643</v>
      </c>
      <c r="H63" s="0" t="n">
        <f aca="false">COSH($E$1*B63*86.4/$G$1)</f>
        <v>1.01440241215487</v>
      </c>
      <c r="I63" s="0" t="n">
        <f aca="false">(($G$1^2*1000)/($E$1*$I$1))*(H63-1)</f>
        <v>0.0139662842047527</v>
      </c>
      <c r="J63" s="0" t="n">
        <f aca="false">$J$3*EXP(-$E$1*B63*86.4/$G$1)</f>
        <v>844.072573942004</v>
      </c>
      <c r="K63" s="0" t="n">
        <f aca="false">J62-J63</f>
        <v>2.38811331756938</v>
      </c>
    </row>
    <row r="64" customFormat="false" ht="12.8" hidden="false" customHeight="false" outlineLevel="0" collapsed="false">
      <c r="A64" s="0" t="n">
        <v>1</v>
      </c>
      <c r="B64" s="0" t="n">
        <f aca="false">B63+A64</f>
        <v>61</v>
      </c>
      <c r="C64" s="0" t="n">
        <f aca="false">$C$3+($G$1/($E$1*86.4))*SINH($E$1*B64*86.4/$G$1)</f>
        <v>44665.3024169913</v>
      </c>
      <c r="D64" s="0" t="n">
        <f aca="false">C64-$C$3-B64</f>
        <v>0.302416991289647</v>
      </c>
      <c r="E64" s="0" t="n">
        <f aca="false">$E$1*B64*86.4</f>
        <v>51702.624</v>
      </c>
      <c r="F64" s="0" t="n">
        <f aca="false">$G$1*G64</f>
        <v>51196.7464682707</v>
      </c>
      <c r="G64" s="0" t="n">
        <f aca="false">TANH($E$1*B64*86.4/$G$1)</f>
        <v>0.170655821560902</v>
      </c>
      <c r="H64" s="0" t="n">
        <f aca="false">COSH($E$1*B64*86.4/$G$1)</f>
        <v>1.01488769086814</v>
      </c>
      <c r="I64" s="0" t="n">
        <f aca="false">(($G$1^2*1000)/($E$1*$I$1))*(H64-1)</f>
        <v>0.0144368679066459</v>
      </c>
      <c r="J64" s="0" t="n">
        <f aca="false">$J$3*EXP(-$E$1*B64*86.4/$G$1)</f>
        <v>841.691198190991</v>
      </c>
      <c r="K64" s="0" t="n">
        <f aca="false">J63-J64</f>
        <v>2.38137575101337</v>
      </c>
    </row>
    <row r="65" customFormat="false" ht="12.8" hidden="false" customHeight="false" outlineLevel="0" collapsed="false">
      <c r="A65" s="0" t="n">
        <v>1</v>
      </c>
      <c r="B65" s="0" t="n">
        <f aca="false">B64+A65</f>
        <v>62</v>
      </c>
      <c r="C65" s="0" t="n">
        <f aca="false">$C$3+($G$1/($E$1*86.4))*SINH($E$1*B65*86.4/$G$1)</f>
        <v>44666.3175506968</v>
      </c>
      <c r="D65" s="0" t="n">
        <f aca="false">C65-$C$3-B65</f>
        <v>0.317550696789112</v>
      </c>
      <c r="E65" s="0" t="n">
        <f aca="false">$E$1*B65*86.4</f>
        <v>52550.208</v>
      </c>
      <c r="F65" s="0" t="n">
        <f aca="false">$G$1*G65</f>
        <v>52019.2471748442</v>
      </c>
      <c r="G65" s="0" t="n">
        <f aca="false">TANH($E$1*B65*86.4/$G$1)</f>
        <v>0.173397490582814</v>
      </c>
      <c r="H65" s="0" t="n">
        <f aca="false">COSH($E$1*B65*86.4/$G$1)</f>
        <v>1.01538107063051</v>
      </c>
      <c r="I65" s="0" t="n">
        <f aca="false">(($G$1^2*1000)/($E$1*$I$1))*(H65-1)</f>
        <v>0.0149153073449845</v>
      </c>
      <c r="J65" s="0" t="n">
        <f aca="false">$J$3*EXP(-$E$1*B65*86.4/$G$1)</f>
        <v>839.316540997887</v>
      </c>
      <c r="K65" s="0" t="n">
        <f aca="false">J64-J65</f>
        <v>2.3746571931041</v>
      </c>
    </row>
    <row r="66" customFormat="false" ht="12.8" hidden="false" customHeight="false" outlineLevel="0" collapsed="false">
      <c r="A66" s="0" t="n">
        <v>1</v>
      </c>
      <c r="B66" s="0" t="n">
        <f aca="false">B65+A66</f>
        <v>63</v>
      </c>
      <c r="C66" s="0" t="n">
        <f aca="false">$C$3+($G$1/($E$1*86.4))*SINH($E$1*B66*86.4/$G$1)</f>
        <v>44667.3331818342</v>
      </c>
      <c r="D66" s="0" t="n">
        <f aca="false">C66-$C$3-B66</f>
        <v>0.333181834212155</v>
      </c>
      <c r="E66" s="0" t="n">
        <f aca="false">$E$1*B66*86.4</f>
        <v>53397.792</v>
      </c>
      <c r="F66" s="0" t="n">
        <f aca="false">$G$1*G66</f>
        <v>52840.9423977919</v>
      </c>
      <c r="G66" s="0" t="n">
        <f aca="false">TANH($E$1*B66*86.4/$G$1)</f>
        <v>0.176136474659306</v>
      </c>
      <c r="H66" s="0" t="n">
        <f aca="false">COSH($E$1*B66*86.4/$G$1)</f>
        <v>1.01588255538024</v>
      </c>
      <c r="I66" s="0" t="n">
        <f aca="false">(($G$1^2*1000)/($E$1*$I$1))*(H66-1)</f>
        <v>0.0154016063387736</v>
      </c>
      <c r="J66" s="0" t="n">
        <f aca="false">$J$3*EXP(-$E$1*B66*86.4/$G$1)</f>
        <v>836.948583407673</v>
      </c>
      <c r="K66" s="0" t="n">
        <f aca="false">J65-J66</f>
        <v>2.36795759021322</v>
      </c>
    </row>
    <row r="67" customFormat="false" ht="12.8" hidden="false" customHeight="false" outlineLevel="0" collapsed="false">
      <c r="A67" s="0" t="n">
        <v>1</v>
      </c>
      <c r="B67" s="0" t="n">
        <f aca="false">B66+A67</f>
        <v>64</v>
      </c>
      <c r="C67" s="0" t="n">
        <f aca="false">$C$3+($G$1/($E$1*86.4))*SINH($E$1*B67*86.4/$G$1)</f>
        <v>44668.3493185106</v>
      </c>
      <c r="D67" s="0" t="n">
        <f aca="false">C67-$C$3-B67</f>
        <v>0.349318510547164</v>
      </c>
      <c r="E67" s="0" t="n">
        <f aca="false">$E$1*B67*86.4</f>
        <v>54245.376</v>
      </c>
      <c r="F67" s="0" t="n">
        <f aca="false">$G$1*G67</f>
        <v>53661.8202213079</v>
      </c>
      <c r="G67" s="0" t="n">
        <f aca="false">TANH($E$1*B67*86.4/$G$1)</f>
        <v>0.178872734071026</v>
      </c>
      <c r="H67" s="0" t="n">
        <f aca="false">COSH($E$1*B67*86.4/$G$1)</f>
        <v>1.01639214912028</v>
      </c>
      <c r="I67" s="0" t="n">
        <f aca="false">(($G$1^2*1000)/($E$1*$I$1))*(H67-1)</f>
        <v>0.0158957687697552</v>
      </c>
      <c r="J67" s="0" t="n">
        <f aca="false">$J$3*EXP(-$E$1*B67*86.4/$G$1)</f>
        <v>834.587306518811</v>
      </c>
      <c r="K67" s="0" t="n">
        <f aca="false">J66-J67</f>
        <v>2.36127688886256</v>
      </c>
    </row>
    <row r="68" customFormat="false" ht="12.8" hidden="false" customHeight="false" outlineLevel="0" collapsed="false">
      <c r="A68" s="0" t="n">
        <v>1</v>
      </c>
      <c r="B68" s="0" t="n">
        <f aca="false">B67+A68</f>
        <v>65</v>
      </c>
      <c r="C68" s="0" t="n">
        <f aca="false">$C$3+($G$1/($E$1*86.4))*SINH($E$1*B68*86.4/$G$1)</f>
        <v>44669.3659688368</v>
      </c>
      <c r="D68" s="0" t="n">
        <f aca="false">C68-$C$3-B68</f>
        <v>0.365968836806132</v>
      </c>
      <c r="E68" s="0" t="n">
        <f aca="false">$E$1*B68*86.4</f>
        <v>55092.96</v>
      </c>
      <c r="F68" s="0" t="n">
        <f aca="false">$G$1*G68</f>
        <v>54481.8687793537</v>
      </c>
      <c r="G68" s="0" t="n">
        <f aca="false">TANH($E$1*B68*86.4/$G$1)</f>
        <v>0.181606229264512</v>
      </c>
      <c r="H68" s="0" t="n">
        <f aca="false">COSH($E$1*B68*86.4/$G$1)</f>
        <v>1.01690985591833</v>
      </c>
      <c r="I68" s="0" t="n">
        <f aca="false">(($G$1^2*1000)/($E$1*$I$1))*(H68-1)</f>
        <v>0.0163977985824387</v>
      </c>
      <c r="J68" s="0" t="n">
        <f aca="false">$J$3*EXP(-$E$1*B68*86.4/$G$1)</f>
        <v>832.232691483085</v>
      </c>
      <c r="K68" s="0" t="n">
        <f aca="false">J67-J68</f>
        <v>2.35461503572549</v>
      </c>
    </row>
    <row r="69" customFormat="false" ht="12.8" hidden="false" customHeight="false" outlineLevel="0" collapsed="false">
      <c r="A69" s="0" t="n">
        <v>1</v>
      </c>
      <c r="B69" s="0" t="n">
        <f aca="false">B68+A69</f>
        <v>66</v>
      </c>
      <c r="C69" s="0" t="n">
        <f aca="false">$C$3+($G$1/($E$1*86.4))*SINH($E$1*B69*86.4/$G$1)</f>
        <v>44670.3831409281</v>
      </c>
      <c r="D69" s="0" t="n">
        <f aca="false">C69-$C$3-B69</f>
        <v>0.38314092811197</v>
      </c>
      <c r="E69" s="0" t="n">
        <f aca="false">$E$1*B69*86.4</f>
        <v>55940.544</v>
      </c>
      <c r="F69" s="0" t="n">
        <f aca="false">$G$1*G69</f>
        <v>55301.0762563035</v>
      </c>
      <c r="G69" s="0" t="n">
        <f aca="false">TANH($E$1*B69*86.4/$G$1)</f>
        <v>0.184336920854345</v>
      </c>
      <c r="H69" s="0" t="n">
        <f aca="false">COSH($E$1*B69*86.4/$G$1)</f>
        <v>1.01743567990683</v>
      </c>
      <c r="I69" s="0" t="n">
        <f aca="false">(($G$1^2*1000)/($E$1*$I$1))*(H69-1)</f>
        <v>0.0169076997841327</v>
      </c>
      <c r="J69" s="0" t="n">
        <f aca="false">$J$3*EXP(-$E$1*B69*86.4/$G$1)</f>
        <v>829.88471950546</v>
      </c>
      <c r="K69" s="0" t="n">
        <f aca="false">J68-J69</f>
        <v>2.34797197762578</v>
      </c>
    </row>
    <row r="70" customFormat="false" ht="12.8" hidden="false" customHeight="false" outlineLevel="0" collapsed="false">
      <c r="A70" s="0" t="n">
        <v>1</v>
      </c>
      <c r="B70" s="0" t="n">
        <f aca="false">B69+A70</f>
        <v>67</v>
      </c>
      <c r="C70" s="0" t="n">
        <f aca="false">$C$3+($G$1/($E$1*86.4))*SINH($E$1*B70*86.4/$G$1)</f>
        <v>44671.4008429038</v>
      </c>
      <c r="D70" s="0" t="n">
        <f aca="false">C70-$C$3-B70</f>
        <v>0.400842903749435</v>
      </c>
      <c r="E70" s="0" t="n">
        <f aca="false">$E$1*B70*86.4</f>
        <v>56788.128</v>
      </c>
      <c r="F70" s="0" t="n">
        <f aca="false">$G$1*G70</f>
        <v>56119.430887583</v>
      </c>
      <c r="G70" s="0" t="n">
        <f aca="false">TANH($E$1*B70*86.4/$G$1)</f>
        <v>0.187064769625277</v>
      </c>
      <c r="H70" s="0" t="n">
        <f aca="false">COSH($E$1*B70*86.4/$G$1)</f>
        <v>1.01796962528302</v>
      </c>
      <c r="I70" s="0" t="n">
        <f aca="false">(($G$1^2*1000)/($E$1*$I$1))*(H70-1)</f>
        <v>0.0174254764449769</v>
      </c>
      <c r="J70" s="0" t="n">
        <f aca="false">$J$3*EXP(-$E$1*B70*86.4/$G$1)</f>
        <v>827.543371843922</v>
      </c>
      <c r="K70" s="0" t="n">
        <f aca="false">J69-J70</f>
        <v>2.34134766153716</v>
      </c>
    </row>
    <row r="71" customFormat="false" ht="12.8" hidden="false" customHeight="false" outlineLevel="0" collapsed="false">
      <c r="A71" s="0" t="n">
        <v>1</v>
      </c>
      <c r="B71" s="0" t="n">
        <f aca="false">B70+A71</f>
        <v>68</v>
      </c>
      <c r="C71" s="0" t="n">
        <f aca="false">$C$3+($G$1/($E$1*86.4))*SINH($E$1*B71*86.4/$G$1)</f>
        <v>44672.4190828872</v>
      </c>
      <c r="D71" s="0" t="n">
        <f aca="false">C71-$C$3-B71</f>
        <v>0.41908288722334</v>
      </c>
      <c r="E71" s="0" t="n">
        <f aca="false">$E$1*B71*86.4</f>
        <v>57635.712</v>
      </c>
      <c r="F71" s="0" t="n">
        <f aca="false">$G$1*G71</f>
        <v>56936.920960302</v>
      </c>
      <c r="G71" s="0" t="n">
        <f aca="false">TANH($E$1*B71*86.4/$G$1)</f>
        <v>0.18978973653434</v>
      </c>
      <c r="H71" s="0" t="n">
        <f aca="false">COSH($E$1*B71*86.4/$G$1)</f>
        <v>1.01851169630896</v>
      </c>
      <c r="I71" s="0" t="n">
        <f aca="false">(($G$1^2*1000)/($E$1*$I$1))*(H71-1)</f>
        <v>0.0179511326979747</v>
      </c>
      <c r="J71" s="0" t="n">
        <f aca="false">$J$3*EXP(-$E$1*B71*86.4/$G$1)</f>
        <v>825.20862980934</v>
      </c>
      <c r="K71" s="0" t="n">
        <f aca="false">J70-J71</f>
        <v>2.33474203458286</v>
      </c>
    </row>
    <row r="72" customFormat="false" ht="12.8" hidden="false" customHeight="false" outlineLevel="0" collapsed="false">
      <c r="A72" s="0" t="n">
        <v>1</v>
      </c>
      <c r="B72" s="0" t="n">
        <f aca="false">B71+A72</f>
        <v>69</v>
      </c>
      <c r="C72" s="0" t="n">
        <f aca="false">$C$3+($G$1/($E$1*86.4))*SINH($E$1*B72*86.4/$G$1)</f>
        <v>44673.4378690064</v>
      </c>
      <c r="D72" s="0" t="n">
        <f aca="false">C72-$C$3-B72</f>
        <v>0.437869006353139</v>
      </c>
      <c r="E72" s="0" t="n">
        <f aca="false">$E$1*B72*86.4</f>
        <v>58483.296</v>
      </c>
      <c r="F72" s="0" t="n">
        <f aca="false">$G$1*G72</f>
        <v>57753.5348138802</v>
      </c>
      <c r="G72" s="0" t="n">
        <f aca="false">TANH($E$1*B72*86.4/$G$1)</f>
        <v>0.192511782712934</v>
      </c>
      <c r="H72" s="0" t="n">
        <f aca="false">COSH($E$1*B72*86.4/$G$1)</f>
        <v>1.01906189731158</v>
      </c>
      <c r="I72" s="0" t="n">
        <f aca="false">(($G$1^2*1000)/($E$1*$I$1))*(H72-1)</f>
        <v>0.0184846727390258</v>
      </c>
      <c r="J72" s="0" t="n">
        <f aca="false">$J$3*EXP(-$E$1*B72*86.4/$G$1)</f>
        <v>822.880474765304</v>
      </c>
      <c r="K72" s="0" t="n">
        <f aca="false">J71-J72</f>
        <v>2.32815504403527</v>
      </c>
    </row>
    <row r="73" customFormat="false" ht="12.8" hidden="false" customHeight="false" outlineLevel="0" collapsed="false">
      <c r="A73" s="0" t="n">
        <v>1</v>
      </c>
      <c r="B73" s="0" t="n">
        <f aca="false">B72+A73</f>
        <v>70</v>
      </c>
      <c r="C73" s="0" t="n">
        <f aca="false">$C$3+($G$1/($E$1*86.4))*SINH($E$1*B73*86.4/$G$1)</f>
        <v>44674.4572093933</v>
      </c>
      <c r="D73" s="0" t="n">
        <f aca="false">C73-$C$3-B73</f>
        <v>0.457209393302037</v>
      </c>
      <c r="E73" s="0" t="n">
        <f aca="false">$E$1*B73*86.4</f>
        <v>59330.88</v>
      </c>
      <c r="F73" s="0" t="n">
        <f aca="false">$G$1*G73</f>
        <v>58569.2608406667</v>
      </c>
      <c r="G73" s="0" t="n">
        <f aca="false">TANH($E$1*B73*86.4/$G$1)</f>
        <v>0.195230869468889</v>
      </c>
      <c r="H73" s="0" t="n">
        <f aca="false">COSH($E$1*B73*86.4/$G$1)</f>
        <v>1.0196202326827</v>
      </c>
      <c r="I73" s="0" t="n">
        <f aca="false">(($G$1^2*1000)/($E$1*$I$1))*(H73-1)</f>
        <v>0.0190261008269601</v>
      </c>
      <c r="J73" s="0" t="n">
        <f aca="false">$J$3*EXP(-$E$1*B73*86.4/$G$1)</f>
        <v>820.558888127989</v>
      </c>
      <c r="K73" s="0" t="n">
        <f aca="false">J72-J73</f>
        <v>2.3215866373157</v>
      </c>
    </row>
    <row r="74" customFormat="false" ht="12.8" hidden="false" customHeight="false" outlineLevel="0" collapsed="false">
      <c r="A74" s="0" t="n">
        <v>1</v>
      </c>
      <c r="B74" s="0" t="n">
        <f aca="false">B73+A74</f>
        <v>71</v>
      </c>
      <c r="C74" s="0" t="n">
        <f aca="false">$C$3+($G$1/($E$1*86.4))*SINH($E$1*B74*86.4/$G$1)</f>
        <v>44675.4771121847</v>
      </c>
      <c r="D74" s="0" t="n">
        <f aca="false">C74-$C$3-B74</f>
        <v>0.477112184664293</v>
      </c>
      <c r="E74" s="0" t="n">
        <f aca="false">$E$1*B74*86.4</f>
        <v>60178.464</v>
      </c>
      <c r="F74" s="0" t="n">
        <f aca="false">$G$1*G74</f>
        <v>59384.0874865524</v>
      </c>
      <c r="G74" s="0" t="n">
        <f aca="false">TANH($E$1*B74*86.4/$G$1)</f>
        <v>0.197946958288508</v>
      </c>
      <c r="H74" s="0" t="n">
        <f aca="false">COSH($E$1*B74*86.4/$G$1)</f>
        <v>1.02018670687908</v>
      </c>
      <c r="I74" s="0" t="n">
        <f aca="false">(($G$1^2*1000)/($E$1*$I$1))*(H74-1)</f>
        <v>0.0195754212835718</v>
      </c>
      <c r="J74" s="0" t="n">
        <f aca="false">$J$3*EXP(-$E$1*B74*86.4/$G$1)</f>
        <v>818.243851365995</v>
      </c>
      <c r="K74" s="0" t="n">
        <f aca="false">J73-J74</f>
        <v>2.31503676199372</v>
      </c>
    </row>
    <row r="75" customFormat="false" ht="12.8" hidden="false" customHeight="false" outlineLevel="0" collapsed="false">
      <c r="A75" s="0" t="n">
        <v>1</v>
      </c>
      <c r="B75" s="0" t="n">
        <f aca="false">B74+A75</f>
        <v>72</v>
      </c>
      <c r="C75" s="0" t="n">
        <f aca="false">$C$3+($G$1/($E$1*86.4))*SINH($E$1*B75*86.4/$G$1)</f>
        <v>44676.4975855215</v>
      </c>
      <c r="D75" s="0" t="n">
        <f aca="false">C75-$C$3-B75</f>
        <v>0.497585521508881</v>
      </c>
      <c r="E75" s="0" t="n">
        <f aca="false">$E$1*B75*86.4</f>
        <v>61026.048</v>
      </c>
      <c r="F75" s="0" t="n">
        <f aca="false">$G$1*G75</f>
        <v>60198.0032515763</v>
      </c>
      <c r="G75" s="0" t="n">
        <f aca="false">TANH($E$1*B75*86.4/$G$1)</f>
        <v>0.200660010838588</v>
      </c>
      <c r="H75" s="0" t="n">
        <f aca="false">COSH($E$1*B75*86.4/$G$1)</f>
        <v>1.02076132442242</v>
      </c>
      <c r="I75" s="0" t="n">
        <f aca="false">(($G$1^2*1000)/($E$1*$I$1))*(H75-1)</f>
        <v>0.0201326384936531</v>
      </c>
      <c r="J75" s="0" t="n">
        <f aca="false">$J$3*EXP(-$E$1*B75*86.4/$G$1)</f>
        <v>815.935346000208</v>
      </c>
      <c r="K75" s="0" t="n">
        <f aca="false">J74-J75</f>
        <v>2.30850536578691</v>
      </c>
    </row>
    <row r="76" customFormat="false" ht="12.8" hidden="false" customHeight="false" outlineLevel="0" collapsed="false">
      <c r="A76" s="0" t="n">
        <v>1</v>
      </c>
      <c r="B76" s="0" t="n">
        <f aca="false">B75+A76</f>
        <v>73</v>
      </c>
      <c r="C76" s="0" t="n">
        <f aca="false">$C$3+($G$1/($E$1*86.4))*SINH($E$1*B76*86.4/$G$1)</f>
        <v>44677.5186375495</v>
      </c>
      <c r="D76" s="0" t="n">
        <f aca="false">C76-$C$3-B76</f>
        <v>0.518637549481355</v>
      </c>
      <c r="E76" s="0" t="n">
        <f aca="false">$E$1*B76*86.4</f>
        <v>61873.632</v>
      </c>
      <c r="F76" s="0" t="n">
        <f aca="false">$G$1*G76</f>
        <v>61010.9966905244</v>
      </c>
      <c r="G76" s="0" t="n">
        <f aca="false">TANH($E$1*B76*86.4/$G$1)</f>
        <v>0.203369988968415</v>
      </c>
      <c r="H76" s="0" t="n">
        <f aca="false">COSH($E$1*B76*86.4/$G$1)</f>
        <v>1.02134408989946</v>
      </c>
      <c r="I76" s="0" t="n">
        <f aca="false">(($G$1^2*1000)/($E$1*$I$1))*(H76-1)</f>
        <v>0.0206977569050305</v>
      </c>
      <c r="J76" s="0" t="n">
        <f aca="false">$J$3*EXP(-$E$1*B76*86.4/$G$1)</f>
        <v>813.633353603648</v>
      </c>
      <c r="K76" s="0" t="n">
        <f aca="false">J75-J76</f>
        <v>2.30199239656031</v>
      </c>
    </row>
    <row r="77" customFormat="false" ht="12.8" hidden="false" customHeight="false" outlineLevel="0" collapsed="false">
      <c r="A77" s="0" t="n">
        <v>1</v>
      </c>
      <c r="B77" s="0" t="n">
        <f aca="false">B76+A77</f>
        <v>74</v>
      </c>
      <c r="C77" s="0" t="n">
        <f aca="false">$C$3+($G$1/($E$1*86.4))*SINH($E$1*B77*86.4/$G$1)</f>
        <v>44678.5402764188</v>
      </c>
      <c r="D77" s="0" t="n">
        <f aca="false">C77-$C$3-B77</f>
        <v>0.540276418840222</v>
      </c>
      <c r="E77" s="0" t="n">
        <f aca="false">$E$1*B77*86.4</f>
        <v>62721.216</v>
      </c>
      <c r="F77" s="0" t="n">
        <f aca="false">$G$1*G77</f>
        <v>61823.0564135222</v>
      </c>
      <c r="G77" s="0" t="n">
        <f aca="false">TANH($E$1*B77*86.4/$G$1)</f>
        <v>0.206076854711741</v>
      </c>
      <c r="H77" s="0" t="n">
        <f aca="false">COSH($E$1*B77*86.4/$G$1)</f>
        <v>1.02193500796194</v>
      </c>
      <c r="I77" s="0" t="n">
        <f aca="false">(($G$1^2*1000)/($E$1*$I$1))*(H77-1)</f>
        <v>0.0212707810285989</v>
      </c>
      <c r="J77" s="0" t="n">
        <f aca="false">$J$3*EXP(-$E$1*B77*86.4/$G$1)</f>
        <v>811.337855801322</v>
      </c>
      <c r="K77" s="0" t="n">
        <f aca="false">J76-J77</f>
        <v>2.29549780232571</v>
      </c>
    </row>
    <row r="78" customFormat="false" ht="12.8" hidden="false" customHeight="false" outlineLevel="0" collapsed="false">
      <c r="A78" s="0" t="n">
        <v>1</v>
      </c>
      <c r="B78" s="0" t="n">
        <f aca="false">B77+A78</f>
        <v>75</v>
      </c>
      <c r="C78" s="0" t="n">
        <f aca="false">$C$3+($G$1/($E$1*86.4))*SINH($E$1*B78*86.4/$G$1)</f>
        <v>44679.5625102845</v>
      </c>
      <c r="D78" s="0" t="n">
        <f aca="false">C78-$C$3-B78</f>
        <v>0.56251028450788</v>
      </c>
      <c r="E78" s="0" t="n">
        <f aca="false">$E$1*B78*86.4</f>
        <v>63568.8</v>
      </c>
      <c r="F78" s="0" t="n">
        <f aca="false">$G$1*G78</f>
        <v>62634.1710866204</v>
      </c>
      <c r="G78" s="0" t="n">
        <f aca="false">TANH($E$1*B78*86.4/$G$1)</f>
        <v>0.208780570288735</v>
      </c>
      <c r="H78" s="0" t="n">
        <f aca="false">COSH($E$1*B78*86.4/$G$1)</f>
        <v>1.0225340833267</v>
      </c>
      <c r="I78" s="0" t="n">
        <f aca="false">(($G$1^2*1000)/($E$1*$I$1))*(H78-1)</f>
        <v>0.0218517154383587</v>
      </c>
      <c r="J78" s="0" t="n">
        <f aca="false">$J$3*EXP(-$E$1*B78*86.4/$G$1)</f>
        <v>809.04883427008</v>
      </c>
      <c r="K78" s="0" t="n">
        <f aca="false">J77-J78</f>
        <v>2.28902153124238</v>
      </c>
    </row>
    <row r="79" customFormat="false" ht="12.8" hidden="false" customHeight="false" outlineLevel="0" collapsed="false">
      <c r="A79" s="0" t="n">
        <v>1</v>
      </c>
      <c r="B79" s="0" t="n">
        <f aca="false">B78+A79</f>
        <v>76</v>
      </c>
      <c r="C79" s="0" t="n">
        <f aca="false">$C$3+($G$1/($E$1*86.4))*SINH($E$1*B79*86.4/$G$1)</f>
        <v>44680.5853473062</v>
      </c>
      <c r="D79" s="0" t="n">
        <f aca="false">C79-$C$3-B79</f>
        <v>0.585347306187032</v>
      </c>
      <c r="E79" s="0" t="n">
        <f aca="false">$E$1*B79*86.4</f>
        <v>64416.384</v>
      </c>
      <c r="F79" s="0" t="n">
        <f aca="false">$G$1*G79</f>
        <v>63444.3294323728</v>
      </c>
      <c r="G79" s="0" t="n">
        <f aca="false">TANH($E$1*B79*86.4/$G$1)</f>
        <v>0.211481098107909</v>
      </c>
      <c r="H79" s="0" t="n">
        <f aca="false">COSH($E$1*B79*86.4/$G$1)</f>
        <v>1.02314132077568</v>
      </c>
      <c r="I79" s="0" t="n">
        <f aca="false">(($G$1^2*1000)/($E$1*$I$1))*(H79-1)</f>
        <v>0.0224405647714517</v>
      </c>
      <c r="J79" s="0" t="n">
        <f aca="false">$J$3*EXP(-$E$1*B79*86.4/$G$1)</f>
        <v>806.766270738465</v>
      </c>
      <c r="K79" s="0" t="n">
        <f aca="false">J78-J79</f>
        <v>2.28256353161498</v>
      </c>
    </row>
    <row r="80" customFormat="false" ht="12.8" hidden="false" customHeight="false" outlineLevel="0" collapsed="false">
      <c r="A80" s="0" t="n">
        <v>1</v>
      </c>
      <c r="B80" s="0" t="n">
        <f aca="false">B79+A80</f>
        <v>77</v>
      </c>
      <c r="C80" s="0" t="n">
        <f aca="false">$C$3+($G$1/($E$1*86.4))*SINH($E$1*B80*86.4/$G$1)</f>
        <v>44681.6087956484</v>
      </c>
      <c r="D80" s="0" t="n">
        <f aca="false">C80-$C$3-B80</f>
        <v>0.608795648367959</v>
      </c>
      <c r="E80" s="0" t="n">
        <f aca="false">$E$1*B80*86.4</f>
        <v>65263.968</v>
      </c>
      <c r="F80" s="0" t="n">
        <f aca="false">$G$1*G80</f>
        <v>64253.5202304086</v>
      </c>
      <c r="G80" s="0" t="n">
        <f aca="false">TANH($E$1*B80*86.4/$G$1)</f>
        <v>0.214178400768029</v>
      </c>
      <c r="H80" s="0" t="n">
        <f aca="false">COSH($E$1*B80*86.4/$G$1)</f>
        <v>1.023756725156</v>
      </c>
      <c r="I80" s="0" t="n">
        <f aca="false">(($G$1^2*1000)/($E$1*$I$1))*(H80-1)</f>
        <v>0.0230373337281984</v>
      </c>
      <c r="J80" s="0" t="n">
        <f aca="false">$J$3*EXP(-$E$1*B80*86.4/$G$1)</f>
        <v>804.49014698657</v>
      </c>
      <c r="K80" s="0" t="n">
        <f aca="false">J79-J80</f>
        <v>2.27612375189437</v>
      </c>
    </row>
    <row r="81" customFormat="false" ht="12.8" hidden="false" customHeight="false" outlineLevel="0" collapsed="false">
      <c r="A81" s="0" t="n">
        <v>1</v>
      </c>
      <c r="B81" s="0" t="n">
        <f aca="false">B80+A81</f>
        <v>78</v>
      </c>
      <c r="C81" s="0" t="n">
        <f aca="false">$C$3+($G$1/($E$1*86.4))*SINH($E$1*B81*86.4/$G$1)</f>
        <v>44682.6328634804</v>
      </c>
      <c r="D81" s="0" t="n">
        <f aca="false">C81-$C$3-B81</f>
        <v>0.632863480444939</v>
      </c>
      <c r="E81" s="0" t="n">
        <f aca="false">$E$1*B81*86.4</f>
        <v>66111.552</v>
      </c>
      <c r="F81" s="0" t="n">
        <f aca="false">$G$1*G81</f>
        <v>65061.7323179962</v>
      </c>
      <c r="G81" s="0" t="n">
        <f aca="false">TANH($E$1*B81*86.4/$G$1)</f>
        <v>0.216872441059987</v>
      </c>
      <c r="H81" s="0" t="n">
        <f aca="false">COSH($E$1*B81*86.4/$G$1)</f>
        <v>1.02438030137992</v>
      </c>
      <c r="I81" s="0" t="n">
        <f aca="false">(($G$1^2*1000)/($E$1*$I$1))*(H81-1)</f>
        <v>0.0236420270721352</v>
      </c>
      <c r="J81" s="0" t="n">
        <f aca="false">$J$3*EXP(-$E$1*B81*86.4/$G$1)</f>
        <v>802.220444845893</v>
      </c>
      <c r="K81" s="0" t="n">
        <f aca="false">J80-J81</f>
        <v>2.26970214067694</v>
      </c>
    </row>
    <row r="82" customFormat="false" ht="12.8" hidden="false" customHeight="false" outlineLevel="0" collapsed="false">
      <c r="A82" s="0" t="n">
        <v>1</v>
      </c>
      <c r="B82" s="0" t="n">
        <f aca="false">B81+A82</f>
        <v>79</v>
      </c>
      <c r="C82" s="0" t="n">
        <f aca="false">$C$3+($G$1/($E$1*86.4))*SINH($E$1*B82*86.4/$G$1)</f>
        <v>44683.6575589767</v>
      </c>
      <c r="D82" s="0" t="n">
        <f aca="false">C82-$C$3-B82</f>
        <v>0.657558976738073</v>
      </c>
      <c r="E82" s="0" t="n">
        <f aca="false">$E$1*B82*86.4</f>
        <v>66959.136</v>
      </c>
      <c r="F82" s="0" t="n">
        <f aca="false">$G$1*G82</f>
        <v>65868.9545906008</v>
      </c>
      <c r="G82" s="0" t="n">
        <f aca="false">TANH($E$1*B82*86.4/$G$1)</f>
        <v>0.219563181968669</v>
      </c>
      <c r="H82" s="0" t="n">
        <f aca="false">COSH($E$1*B82*86.4/$G$1)</f>
        <v>1.02501205442498</v>
      </c>
      <c r="I82" s="0" t="n">
        <f aca="false">(($G$1^2*1000)/($E$1*$I$1))*(H82-1)</f>
        <v>0.0242546496300532</v>
      </c>
      <c r="J82" s="0" t="n">
        <f aca="false">$J$3*EXP(-$E$1*B82*86.4/$G$1)</f>
        <v>799.957146199189</v>
      </c>
      <c r="K82" s="0" t="n">
        <f aca="false">J81-J82</f>
        <v>2.26329864670436</v>
      </c>
    </row>
    <row r="83" customFormat="false" ht="12.8" hidden="false" customHeight="false" outlineLevel="0" collapsed="false">
      <c r="A83" s="0" t="n">
        <v>1</v>
      </c>
      <c r="B83" s="0" t="n">
        <f aca="false">B82+A83</f>
        <v>80</v>
      </c>
      <c r="C83" s="0" t="n">
        <f aca="false">$C$3+($G$1/($E$1*86.4))*SINH($E$1*B83*86.4/$G$1)</f>
        <v>44684.6828903166</v>
      </c>
      <c r="D83" s="0" t="n">
        <f aca="false">C83-$C$3-B83</f>
        <v>0.682890316580597</v>
      </c>
      <c r="E83" s="0" t="n">
        <f aca="false">$E$1*B83*86.4</f>
        <v>67806.72</v>
      </c>
      <c r="F83" s="0" t="n">
        <f aca="false">$G$1*G83</f>
        <v>66675.176002435</v>
      </c>
      <c r="G83" s="0" t="n">
        <f aca="false">TANH($E$1*B83*86.4/$G$1)</f>
        <v>0.222250586674783</v>
      </c>
      <c r="H83" s="0" t="n">
        <f aca="false">COSH($E$1*B83*86.4/$G$1)</f>
        <v>1.02565198933396</v>
      </c>
      <c r="I83" s="0" t="n">
        <f aca="false">(($G$1^2*1000)/($E$1*$I$1))*(H83-1)</f>
        <v>0.0248752062920351</v>
      </c>
      <c r="J83" s="0" t="n">
        <f aca="false">$J$3*EXP(-$E$1*B83*86.4/$G$1)</f>
        <v>797.700232980327</v>
      </c>
      <c r="K83" s="0" t="n">
        <f aca="false">J82-J83</f>
        <v>2.25691321886188</v>
      </c>
    </row>
    <row r="84" customFormat="false" ht="12.8" hidden="false" customHeight="false" outlineLevel="0" collapsed="false">
      <c r="A84" s="0" t="n">
        <v>1</v>
      </c>
      <c r="B84" s="0" t="n">
        <f aca="false">B83+A84</f>
        <v>81</v>
      </c>
      <c r="C84" s="0" t="n">
        <f aca="false">$C$3+($G$1/($E$1*86.4))*SINH($E$1*B84*86.4/$G$1)</f>
        <v>44685.7088656844</v>
      </c>
      <c r="D84" s="0" t="n">
        <f aca="false">C84-$C$3-B84</f>
        <v>0.70886568439164</v>
      </c>
      <c r="E84" s="0" t="n">
        <f aca="false">$E$1*B84*86.4</f>
        <v>68654.304</v>
      </c>
      <c r="F84" s="0" t="n">
        <f aca="false">$G$1*G84</f>
        <v>67480.3855670012</v>
      </c>
      <c r="G84" s="0" t="n">
        <f aca="false">TANH($E$1*B84*86.4/$G$1)</f>
        <v>0.224934618556671</v>
      </c>
      <c r="H84" s="0" t="n">
        <f aca="false">COSH($E$1*B84*86.4/$G$1)</f>
        <v>1.02630011121495</v>
      </c>
      <c r="I84" s="0" t="n">
        <f aca="false">(($G$1^2*1000)/($E$1*$I$1))*(H84-1)</f>
        <v>0.0255037020114965</v>
      </c>
      <c r="J84" s="0" t="n">
        <f aca="false">$J$3*EXP(-$E$1*B84*86.4/$G$1)</f>
        <v>795.449687174147</v>
      </c>
      <c r="K84" s="0" t="n">
        <f aca="false">J83-J84</f>
        <v>2.2505458061803</v>
      </c>
    </row>
    <row r="85" customFormat="false" ht="12.8" hidden="false" customHeight="false" outlineLevel="0" collapsed="false">
      <c r="A85" s="0" t="n">
        <v>1</v>
      </c>
      <c r="B85" s="0" t="n">
        <f aca="false">B84+A85</f>
        <v>82</v>
      </c>
      <c r="C85" s="0" t="n">
        <f aca="false">$C$3+($G$1/($E$1*86.4))*SINH($E$1*B85*86.4/$G$1)</f>
        <v>44686.7354932697</v>
      </c>
      <c r="D85" s="0" t="n">
        <f aca="false">C85-$C$3-B85</f>
        <v>0.735493269727158</v>
      </c>
      <c r="E85" s="0" t="n">
        <f aca="false">$E$1*B85*86.4</f>
        <v>69501.888</v>
      </c>
      <c r="F85" s="0" t="n">
        <f aca="false">$G$1*G85</f>
        <v>68284.5723576275</v>
      </c>
      <c r="G85" s="0" t="n">
        <f aca="false">TANH($E$1*B85*86.4/$G$1)</f>
        <v>0.227615241192092</v>
      </c>
      <c r="H85" s="0" t="n">
        <f aca="false">COSH($E$1*B85*86.4/$G$1)</f>
        <v>1.0269564252414</v>
      </c>
      <c r="I85" s="0" t="n">
        <f aca="false">(($G$1^2*1000)/($E$1*$I$1))*(H85-1)</f>
        <v>0.0261401418052238</v>
      </c>
      <c r="J85" s="0" t="n">
        <f aca="false">$J$3*EXP(-$E$1*B85*86.4/$G$1)</f>
        <v>793.205490816313</v>
      </c>
      <c r="K85" s="0" t="n">
        <f aca="false">J84-J85</f>
        <v>2.2441963578334</v>
      </c>
    </row>
    <row r="86" customFormat="false" ht="12.8" hidden="false" customHeight="false" outlineLevel="0" collapsed="false">
      <c r="A86" s="0" t="n">
        <v>1</v>
      </c>
      <c r="B86" s="0" t="n">
        <f aca="false">B85+A86</f>
        <v>83</v>
      </c>
      <c r="C86" s="0" t="n">
        <f aca="false">$C$3+($G$1/($E$1*86.4))*SINH($E$1*B86*86.4/$G$1)</f>
        <v>44687.7627812673</v>
      </c>
      <c r="D86" s="0" t="n">
        <f aca="false">C86-$C$3-B86</f>
        <v>0.762781267338141</v>
      </c>
      <c r="E86" s="0" t="n">
        <f aca="false">$E$1*B86*86.4</f>
        <v>70349.472</v>
      </c>
      <c r="F86" s="0" t="n">
        <f aca="false">$G$1*G86</f>
        <v>69087.7255079966</v>
      </c>
      <c r="G86" s="0" t="n">
        <f aca="false">TANH($E$1*B86*86.4/$G$1)</f>
        <v>0.230292418359989</v>
      </c>
      <c r="H86" s="0" t="n">
        <f aca="false">COSH($E$1*B86*86.4/$G$1)</f>
        <v>1.02762093665216</v>
      </c>
      <c r="I86" s="0" t="n">
        <f aca="false">(($G$1^2*1000)/($E$1*$I$1))*(H86-1)</f>
        <v>0.0267845307534141</v>
      </c>
      <c r="J86" s="0" t="n">
        <f aca="false">$J$3*EXP(-$E$1*B86*86.4/$G$1)</f>
        <v>790.967625993175</v>
      </c>
      <c r="K86" s="0" t="n">
        <f aca="false">J85-J86</f>
        <v>2.23786482313824</v>
      </c>
    </row>
    <row r="87" customFormat="false" ht="12.8" hidden="false" customHeight="false" outlineLevel="0" collapsed="false">
      <c r="A87" s="0" t="n">
        <v>1</v>
      </c>
      <c r="B87" s="0" t="n">
        <f aca="false">B86+A87</f>
        <v>84</v>
      </c>
      <c r="C87" s="0" t="n">
        <f aca="false">$C$3+($G$1/($E$1*86.4))*SINH($E$1*B87*86.4/$G$1)</f>
        <v>44688.7907378773</v>
      </c>
      <c r="D87" s="0" t="n">
        <f aca="false">C87-$C$3-B87</f>
        <v>0.790737877257925</v>
      </c>
      <c r="E87" s="0" t="n">
        <f aca="false">$E$1*B87*86.4</f>
        <v>71197.056</v>
      </c>
      <c r="F87" s="0" t="n">
        <f aca="false">$G$1*G87</f>
        <v>69889.8342126664</v>
      </c>
      <c r="G87" s="0" t="n">
        <f aca="false">TANH($E$1*B87*86.4/$G$1)</f>
        <v>0.232966114042221</v>
      </c>
      <c r="H87" s="0" t="n">
        <f aca="false">COSH($E$1*B87*86.4/$G$1)</f>
        <v>1.02829365075148</v>
      </c>
      <c r="I87" s="0" t="n">
        <f aca="false">(($G$1^2*1000)/($E$1*$I$1))*(H87-1)</f>
        <v>0.0274368739997171</v>
      </c>
      <c r="J87" s="0" t="n">
        <f aca="false">$J$3*EXP(-$E$1*B87*86.4/$G$1)</f>
        <v>788.73607484162</v>
      </c>
      <c r="K87" s="0" t="n">
        <f aca="false">J86-J87</f>
        <v>2.23155115155544</v>
      </c>
    </row>
    <row r="88" customFormat="false" ht="12.8" hidden="false" customHeight="false" outlineLevel="0" collapsed="false">
      <c r="A88" s="0" t="n">
        <v>1</v>
      </c>
      <c r="B88" s="0" t="n">
        <f aca="false">B87+A88</f>
        <v>85</v>
      </c>
      <c r="C88" s="0" t="n">
        <f aca="false">$C$3+($G$1/($E$1*86.4))*SINH($E$1*B88*86.4/$G$1)</f>
        <v>44689.8193713049</v>
      </c>
      <c r="D88" s="0" t="n">
        <f aca="false">C88-$C$3-B88</f>
        <v>0.819371304860397</v>
      </c>
      <c r="E88" s="0" t="n">
        <f aca="false">$E$1*B88*86.4</f>
        <v>72044.64</v>
      </c>
      <c r="F88" s="0" t="n">
        <f aca="false">$G$1*G88</f>
        <v>70690.8877275839</v>
      </c>
      <c r="G88" s="0" t="n">
        <f aca="false">TANH($E$1*B88*86.4/$G$1)</f>
        <v>0.23563629242528</v>
      </c>
      <c r="H88" s="0" t="n">
        <f aca="false">COSH($E$1*B88*86.4/$G$1)</f>
        <v>1.02897457290912</v>
      </c>
      <c r="I88" s="0" t="n">
        <f aca="false">(($G$1^2*1000)/($E$1*$I$1))*(H88-1)</f>
        <v>0.0280971767512754</v>
      </c>
      <c r="J88" s="0" t="n">
        <f aca="false">$J$3*EXP(-$E$1*B88*86.4/$G$1)</f>
        <v>786.510819548932</v>
      </c>
      <c r="K88" s="0" t="n">
        <f aca="false">J87-J88</f>
        <v>2.22525529268808</v>
      </c>
    </row>
    <row r="89" customFormat="false" ht="12.8" hidden="false" customHeight="false" outlineLevel="0" collapsed="false">
      <c r="A89" s="0" t="n">
        <v>1</v>
      </c>
      <c r="B89" s="0" t="n">
        <f aca="false">B88+A89</f>
        <v>86</v>
      </c>
      <c r="C89" s="0" t="n">
        <f aca="false">$C$3+($G$1/($E$1*86.4))*SINH($E$1*B89*86.4/$G$1)</f>
        <v>44690.8486897609</v>
      </c>
      <c r="D89" s="0" t="n">
        <f aca="false">C89-$C$3-B89</f>
        <v>0.848689760910929</v>
      </c>
      <c r="E89" s="0" t="n">
        <f aca="false">$E$1*B89*86.4</f>
        <v>72892.224</v>
      </c>
      <c r="F89" s="0" t="n">
        <f aca="false">$G$1*G89</f>
        <v>71490.8753705917</v>
      </c>
      <c r="G89" s="0" t="n">
        <f aca="false">TANH($E$1*B89*86.4/$G$1)</f>
        <v>0.238302917901972</v>
      </c>
      <c r="H89" s="0" t="n">
        <f aca="false">COSH($E$1*B89*86.4/$G$1)</f>
        <v>1.02966370856035</v>
      </c>
      <c r="I89" s="0" t="n">
        <f aca="false">(($G$1^2*1000)/($E$1*$I$1))*(H89-1)</f>
        <v>0.0287654442787654</v>
      </c>
      <c r="J89" s="0" t="n">
        <f aca="false">$J$3*EXP(-$E$1*B89*86.4/$G$1)</f>
        <v>784.291842352651</v>
      </c>
      <c r="K89" s="0" t="n">
        <f aca="false">J88-J89</f>
        <v>2.21897719628089</v>
      </c>
    </row>
    <row r="90" customFormat="false" ht="12.8" hidden="false" customHeight="false" outlineLevel="0" collapsed="false">
      <c r="A90" s="0" t="n">
        <v>1</v>
      </c>
      <c r="B90" s="0" t="n">
        <f aca="false">B89+A90</f>
        <v>87</v>
      </c>
      <c r="C90" s="0" t="n">
        <f aca="false">$C$3+($G$1/($E$1*86.4))*SINH($E$1*B90*86.4/$G$1)</f>
        <v>44691.8787014617</v>
      </c>
      <c r="D90" s="0" t="n">
        <f aca="false">C90-$C$3-B90</f>
        <v>0.878701461646415</v>
      </c>
      <c r="E90" s="0" t="n">
        <f aca="false">$E$1*B90*86.4</f>
        <v>73739.808</v>
      </c>
      <c r="F90" s="0" t="n">
        <f aca="false">$G$1*G90</f>
        <v>72289.7865219265</v>
      </c>
      <c r="G90" s="0" t="n">
        <f aca="false">TANH($E$1*B90*86.4/$G$1)</f>
        <v>0.240965955073088</v>
      </c>
      <c r="H90" s="0" t="n">
        <f aca="false">COSH($E$1*B90*86.4/$G$1)</f>
        <v>1.03036106320598</v>
      </c>
      <c r="I90" s="0" t="n">
        <f aca="false">(($G$1^2*1000)/($E$1*$I$1))*(H90-1)</f>
        <v>0.0294416819164406</v>
      </c>
      <c r="J90" s="0" t="n">
        <f aca="false">$J$3*EXP(-$E$1*B90*86.4/$G$1)</f>
        <v>782.07912554043</v>
      </c>
      <c r="K90" s="0" t="n">
        <f aca="false">J89-J90</f>
        <v>2.21271681222095</v>
      </c>
    </row>
    <row r="91" customFormat="false" ht="12.8" hidden="false" customHeight="false" outlineLevel="0" collapsed="false">
      <c r="A91" s="0" t="n">
        <v>1</v>
      </c>
      <c r="B91" s="0" t="n">
        <f aca="false">B90+A91</f>
        <v>88</v>
      </c>
      <c r="C91" s="0" t="n">
        <f aca="false">$C$3+($G$1/($E$1*86.4))*SINH($E$1*B91*86.4/$G$1)</f>
        <v>44692.9094146288</v>
      </c>
      <c r="D91" s="0" t="n">
        <f aca="false">C91-$C$3-B91</f>
        <v>0.90941462884075</v>
      </c>
      <c r="E91" s="0" t="n">
        <f aca="false">$E$1*B91*86.4</f>
        <v>74587.392</v>
      </c>
      <c r="F91" s="0" t="n">
        <f aca="false">$G$1*G91</f>
        <v>73087.6106247109</v>
      </c>
      <c r="G91" s="0" t="n">
        <f aca="false">TANH($E$1*B91*86.4/$G$1)</f>
        <v>0.243625368749036</v>
      </c>
      <c r="H91" s="0" t="n">
        <f aca="false">COSH($E$1*B91*86.4/$G$1)</f>
        <v>1.03106664241246</v>
      </c>
      <c r="I91" s="0" t="n">
        <f aca="false">(($G$1^2*1000)/($E$1*$I$1))*(H91-1)</f>
        <v>0.0301258950621735</v>
      </c>
      <c r="J91" s="0" t="n">
        <f aca="false">$J$3*EXP(-$E$1*B91*86.4/$G$1)</f>
        <v>779.872651449893</v>
      </c>
      <c r="K91" s="0" t="n">
        <f aca="false">J90-J91</f>
        <v>2.20647409053674</v>
      </c>
    </row>
    <row r="92" customFormat="false" ht="12.8" hidden="false" customHeight="false" outlineLevel="0" collapsed="false">
      <c r="A92" s="0" t="n">
        <v>1</v>
      </c>
      <c r="B92" s="0" t="n">
        <f aca="false">B91+A92</f>
        <v>89</v>
      </c>
      <c r="C92" s="0" t="n">
        <f aca="false">$C$3+($G$1/($E$1*86.4))*SINH($E$1*B92*86.4/$G$1)</f>
        <v>44693.9408374899</v>
      </c>
      <c r="D92" s="0" t="n">
        <f aca="false">C92-$C$3-B92</f>
        <v>0.940837489863043</v>
      </c>
      <c r="E92" s="0" t="n">
        <f aca="false">$E$1*B92*86.4</f>
        <v>75434.976</v>
      </c>
      <c r="F92" s="0" t="n">
        <f aca="false">$G$1*G92</f>
        <v>73884.3371854369</v>
      </c>
      <c r="G92" s="0" t="n">
        <f aca="false">TANH($E$1*B92*86.4/$G$1)</f>
        <v>0.246281123951456</v>
      </c>
      <c r="H92" s="0" t="n">
        <f aca="false">COSH($E$1*B92*86.4/$G$1)</f>
        <v>1.03178045181186</v>
      </c>
      <c r="I92" s="0" t="n">
        <f aca="false">(($G$1^2*1000)/($E$1*$I$1))*(H92-1)</f>
        <v>0.0308180891774987</v>
      </c>
      <c r="J92" s="0" t="n">
        <f aca="false">$J$3*EXP(-$E$1*B92*86.4/$G$1)</f>
        <v>777.672402468496</v>
      </c>
      <c r="K92" s="0" t="n">
        <f aca="false">J91-J92</f>
        <v>2.20024898139729</v>
      </c>
    </row>
    <row r="93" customFormat="false" ht="12.8" hidden="false" customHeight="false" outlineLevel="0" collapsed="false">
      <c r="A93" s="0" t="n">
        <v>1</v>
      </c>
      <c r="B93" s="0" t="n">
        <f aca="false">B92+A93</f>
        <v>90</v>
      </c>
      <c r="C93" s="0" t="n">
        <f aca="false">$C$3+($G$1/($E$1*86.4))*SINH($E$1*B93*86.4/$G$1)</f>
        <v>44694.9729782778</v>
      </c>
      <c r="D93" s="0" t="n">
        <f aca="false">C93-$C$3-B93</f>
        <v>0.972978277757647</v>
      </c>
      <c r="E93" s="0" t="n">
        <f aca="false">$E$1*B93*86.4</f>
        <v>76282.56</v>
      </c>
      <c r="F93" s="0" t="n">
        <f aca="false">$G$1*G93</f>
        <v>74679.9557744419</v>
      </c>
      <c r="G93" s="0" t="n">
        <f aca="false">TANH($E$1*B93*86.4/$G$1)</f>
        <v>0.248933185914806</v>
      </c>
      <c r="H93" s="0" t="n">
        <f aca="false">COSH($E$1*B93*86.4/$G$1)</f>
        <v>1.03250249710197</v>
      </c>
      <c r="I93" s="0" t="n">
        <f aca="false">(($G$1^2*1000)/($E$1*$I$1))*(H93-1)</f>
        <v>0.0315182697876567</v>
      </c>
      <c r="J93" s="0" t="n">
        <f aca="false">$J$3*EXP(-$E$1*B93*86.4/$G$1)</f>
        <v>775.478361033383</v>
      </c>
      <c r="K93" s="0" t="n">
        <f aca="false">J92-J93</f>
        <v>2.19404143511235</v>
      </c>
    </row>
    <row r="94" customFormat="false" ht="12.8" hidden="false" customHeight="false" outlineLevel="0" collapsed="false">
      <c r="A94" s="0" t="n">
        <v>1</v>
      </c>
      <c r="B94" s="0" t="n">
        <f aca="false">B93+A94</f>
        <v>91</v>
      </c>
      <c r="C94" s="0" t="n">
        <f aca="false">$C$3+($G$1/($E$1*86.4))*SINH($E$1*B94*86.4/$G$1)</f>
        <v>44696.0058452313</v>
      </c>
      <c r="D94" s="0" t="n">
        <f aca="false">C94-$C$3-B94</f>
        <v>1.00584523128782</v>
      </c>
      <c r="E94" s="0" t="n">
        <f aca="false">$E$1*B94*86.4</f>
        <v>77130.144</v>
      </c>
      <c r="F94" s="0" t="n">
        <f aca="false">$G$1*G94</f>
        <v>75474.4560263782</v>
      </c>
      <c r="G94" s="0" t="n">
        <f aca="false">TANH($E$1*B94*86.4/$G$1)</f>
        <v>0.251581520087927</v>
      </c>
      <c r="H94" s="0" t="n">
        <f aca="false">COSH($E$1*B94*86.4/$G$1)</f>
        <v>1.0332327840463</v>
      </c>
      <c r="I94" s="0" t="n">
        <f aca="false">(($G$1^2*1000)/($E$1*$I$1))*(H94-1)</f>
        <v>0.0322264424816379</v>
      </c>
      <c r="J94" s="0" t="n">
        <f aca="false">$J$3*EXP(-$E$1*B94*86.4/$G$1)</f>
        <v>773.290509631251</v>
      </c>
      <c r="K94" s="0" t="n">
        <f aca="false">J93-J94</f>
        <v>2.18785140213231</v>
      </c>
    </row>
    <row r="95" customFormat="false" ht="12.8" hidden="false" customHeight="false" outlineLevel="0" collapsed="false">
      <c r="A95" s="0" t="n">
        <v>1</v>
      </c>
      <c r="B95" s="0" t="n">
        <f aca="false">B94+A95</f>
        <v>92</v>
      </c>
      <c r="C95" s="0" t="n">
        <f aca="false">$C$3+($G$1/($E$1*86.4))*SINH($E$1*B95*86.4/$G$1)</f>
        <v>44697.039446595</v>
      </c>
      <c r="D95" s="0" t="n">
        <f aca="false">C95-$C$3-B95</f>
        <v>1.03944659500849</v>
      </c>
      <c r="E95" s="0" t="n">
        <f aca="false">$E$1*B95*86.4</f>
        <v>77977.728</v>
      </c>
      <c r="F95" s="0" t="n">
        <f aca="false">$G$1*G95</f>
        <v>76267.827640673</v>
      </c>
      <c r="G95" s="0" t="n">
        <f aca="false">TANH($E$1*B95*86.4/$G$1)</f>
        <v>0.254226092135577</v>
      </c>
      <c r="H95" s="0" t="n">
        <f aca="false">COSH($E$1*B95*86.4/$G$1)</f>
        <v>1.03397131847416</v>
      </c>
      <c r="I95" s="0" t="n">
        <f aca="false">(($G$1^2*1000)/($E$1*$I$1))*(H95-1)</f>
        <v>0.0329426129122268</v>
      </c>
      <c r="J95" s="0" t="n">
        <f aca="false">$J$3*EXP(-$E$1*B95*86.4/$G$1)</f>
        <v>771.108830798204</v>
      </c>
      <c r="K95" s="0" t="n">
        <f aca="false">J94-J95</f>
        <v>2.1816788330467</v>
      </c>
    </row>
    <row r="96" customFormat="false" ht="12.8" hidden="false" customHeight="false" outlineLevel="0" collapsed="false">
      <c r="A96" s="0" t="n">
        <v>1</v>
      </c>
      <c r="B96" s="0" t="n">
        <f aca="false">B95+A96</f>
        <v>93</v>
      </c>
      <c r="C96" s="0" t="n">
        <f aca="false">$C$3+($G$1/($E$1*86.4))*SINH($E$1*B96*86.4/$G$1)</f>
        <v>44698.0737906194</v>
      </c>
      <c r="D96" s="0" t="n">
        <f aca="false">C96-$C$3-B96</f>
        <v>1.07379061936081</v>
      </c>
      <c r="E96" s="0" t="n">
        <f aca="false">$E$1*B96*86.4</f>
        <v>78825.312</v>
      </c>
      <c r="F96" s="0" t="n">
        <f aca="false">$G$1*G96</f>
        <v>77060.0603819823</v>
      </c>
      <c r="G96" s="0" t="n">
        <f aca="false">TANH($E$1*B96*86.4/$G$1)</f>
        <v>0.256866867939941</v>
      </c>
      <c r="H96" s="0" t="n">
        <f aca="false">COSH($E$1*B96*86.4/$G$1)</f>
        <v>1.03471810628069</v>
      </c>
      <c r="I96" s="0" t="n">
        <f aca="false">(($G$1^2*1000)/($E$1*$I$1))*(H96-1)</f>
        <v>0.0336667867960483</v>
      </c>
      <c r="J96" s="0" t="n">
        <f aca="false">$J$3*EXP(-$E$1*B96*86.4/$G$1)</f>
        <v>768.933307119619</v>
      </c>
      <c r="K96" s="0" t="n">
        <f aca="false">J95-J96</f>
        <v>2.17552367858514</v>
      </c>
    </row>
    <row r="97" customFormat="false" ht="12.8" hidden="false" customHeight="false" outlineLevel="0" collapsed="false">
      <c r="A97" s="0" t="n">
        <v>1</v>
      </c>
      <c r="B97" s="0" t="n">
        <f aca="false">B96+A97</f>
        <v>94</v>
      </c>
      <c r="C97" s="0" t="n">
        <f aca="false">$C$3+($G$1/($E$1*86.4))*SINH($E$1*B97*86.4/$G$1)</f>
        <v>44699.1088855607</v>
      </c>
      <c r="D97" s="0" t="n">
        <f aca="false">C97-$C$3-B97</f>
        <v>1.10888556068676</v>
      </c>
      <c r="E97" s="0" t="n">
        <f aca="false">$E$1*B97*86.4</f>
        <v>79672.896</v>
      </c>
      <c r="F97" s="0" t="n">
        <f aca="false">$G$1*G97</f>
        <v>77851.1440806363</v>
      </c>
      <c r="G97" s="0" t="n">
        <f aca="false">TANH($E$1*B97*86.4/$G$1)</f>
        <v>0.259503813602121</v>
      </c>
      <c r="H97" s="0" t="n">
        <f aca="false">COSH($E$1*B97*86.4/$G$1)</f>
        <v>1.0354731534269</v>
      </c>
      <c r="I97" s="0" t="n">
        <f aca="false">(($G$1^2*1000)/($E$1*$I$1))*(H97-1)</f>
        <v>0.0343989699136118</v>
      </c>
      <c r="J97" s="0" t="n">
        <f aca="false">$J$3*EXP(-$E$1*B97*86.4/$G$1)</f>
        <v>766.763921230004</v>
      </c>
      <c r="K97" s="0" t="n">
        <f aca="false">J96-J97</f>
        <v>2.16938588961534</v>
      </c>
    </row>
    <row r="98" customFormat="false" ht="12.8" hidden="false" customHeight="false" outlineLevel="0" collapsed="false">
      <c r="A98" s="0" t="n">
        <v>1</v>
      </c>
      <c r="B98" s="0" t="n">
        <f aca="false">B97+A98</f>
        <v>95</v>
      </c>
      <c r="C98" s="0" t="n">
        <f aca="false">$C$3+($G$1/($E$1*86.4))*SINH($E$1*B98*86.4/$G$1)</f>
        <v>44700.1447396813</v>
      </c>
      <c r="D98" s="0" t="n">
        <f aca="false">C98-$C$3-B98</f>
        <v>1.14473968133825</v>
      </c>
      <c r="E98" s="0" t="n">
        <f aca="false">$E$1*B98*86.4</f>
        <v>80520.48</v>
      </c>
      <c r="F98" s="0" t="n">
        <f aca="false">$G$1*G98</f>
        <v>78641.0686330777</v>
      </c>
      <c r="G98" s="0" t="n">
        <f aca="false">TANH($E$1*B98*86.4/$G$1)</f>
        <v>0.262136895443592</v>
      </c>
      <c r="H98" s="0" t="n">
        <f aca="false">COSH($E$1*B98*86.4/$G$1)</f>
        <v>1.03623646593974</v>
      </c>
      <c r="I98" s="0" t="n">
        <f aca="false">(($G$1^2*1000)/($E$1*$I$1))*(H98-1)</f>
        <v>0.0351391681093586</v>
      </c>
      <c r="J98" s="0" t="n">
        <f aca="false">$J$3*EXP(-$E$1*B98*86.4/$G$1)</f>
        <v>764.600655812859</v>
      </c>
      <c r="K98" s="0" t="n">
        <f aca="false">J97-J98</f>
        <v>2.16326541714466</v>
      </c>
    </row>
    <row r="99" customFormat="false" ht="12.8" hidden="false" customHeight="false" outlineLevel="0" collapsed="false">
      <c r="A99" s="0" t="n">
        <v>1</v>
      </c>
      <c r="B99" s="0" t="n">
        <f aca="false">B98+A99</f>
        <v>96</v>
      </c>
      <c r="C99" s="0" t="n">
        <f aca="false">$C$3+($G$1/($E$1*86.4))*SINH($E$1*B99*86.4/$G$1)</f>
        <v>44701.1813612497</v>
      </c>
      <c r="D99" s="0" t="n">
        <f aca="false">C99-$C$3-B99</f>
        <v>1.18136124972079</v>
      </c>
      <c r="E99" s="0" t="n">
        <f aca="false">$E$1*B99*86.4</f>
        <v>81368.064</v>
      </c>
      <c r="F99" s="0" t="n">
        <f aca="false">$G$1*G99</f>
        <v>79429.8240022912</v>
      </c>
      <c r="G99" s="0" t="n">
        <f aca="false">TANH($E$1*B99*86.4/$G$1)</f>
        <v>0.264766080007637</v>
      </c>
      <c r="H99" s="0" t="n">
        <f aca="false">COSH($E$1*B99*86.4/$G$1)</f>
        <v>1.03700804991214</v>
      </c>
      <c r="I99" s="0" t="n">
        <f aca="false">(($G$1^2*1000)/($E$1*$I$1))*(H99-1)</f>
        <v>0.0358873872917081</v>
      </c>
      <c r="J99" s="0" t="n">
        <f aca="false">$J$3*EXP(-$E$1*B99*86.4/$G$1)</f>
        <v>762.443493600541</v>
      </c>
      <c r="K99" s="0" t="n">
        <f aca="false">J98-J99</f>
        <v>2.15716221231799</v>
      </c>
    </row>
    <row r="100" customFormat="false" ht="12.8" hidden="false" customHeight="false" outlineLevel="0" collapsed="false">
      <c r="A100" s="0" t="n">
        <v>1</v>
      </c>
      <c r="B100" s="0" t="n">
        <f aca="false">B99+A100</f>
        <v>97</v>
      </c>
      <c r="C100" s="0" t="n">
        <f aca="false">$C$3+($G$1/($E$1*86.4))*SINH($E$1*B100*86.4/$G$1)</f>
        <v>44702.2187585404</v>
      </c>
      <c r="D100" s="0" t="n">
        <f aca="false">C100-$C$3-B100</f>
        <v>1.21875854036625</v>
      </c>
      <c r="E100" s="0" t="n">
        <f aca="false">$E$1*B100*86.4</f>
        <v>82215.648</v>
      </c>
      <c r="F100" s="0" t="n">
        <f aca="false">$G$1*G100</f>
        <v>80217.4002182263</v>
      </c>
      <c r="G100" s="0" t="n">
        <f aca="false">TANH($E$1*B100*86.4/$G$1)</f>
        <v>0.267391334060754</v>
      </c>
      <c r="H100" s="0" t="n">
        <f aca="false">COSH($E$1*B100*86.4/$G$1)</f>
        <v>1.03778791150305</v>
      </c>
      <c r="I100" s="0" t="n">
        <f aca="false">(($G$1^2*1000)/($E$1*$I$1))*(H100-1)</f>
        <v>0.0366436334331044</v>
      </c>
      <c r="J100" s="0" t="n">
        <f aca="false">$J$3*EXP(-$E$1*B100*86.4/$G$1)</f>
        <v>760.292417374123</v>
      </c>
      <c r="K100" s="0" t="n">
        <f aca="false">J99-J100</f>
        <v>2.15107622641801</v>
      </c>
    </row>
    <row r="101" customFormat="false" ht="12.8" hidden="false" customHeight="false" outlineLevel="0" collapsed="false">
      <c r="A101" s="0" t="n">
        <v>1</v>
      </c>
      <c r="B101" s="0" t="n">
        <f aca="false">B100+A101</f>
        <v>98</v>
      </c>
      <c r="C101" s="0" t="n">
        <f aca="false">$C$3+($G$1/($E$1*86.4))*SINH($E$1*B101*86.4/$G$1)</f>
        <v>44703.256939834</v>
      </c>
      <c r="D101" s="0" t="n">
        <f aca="false">C101-$C$3-B101</f>
        <v>1.25693983400561</v>
      </c>
      <c r="E101" s="0" t="n">
        <f aca="false">$E$1*B101*86.4</f>
        <v>83063.232</v>
      </c>
      <c r="F101" s="0" t="n">
        <f aca="false">$G$1*G101</f>
        <v>81003.7873782118</v>
      </c>
      <c r="G101" s="0" t="n">
        <f aca="false">TANH($E$1*B101*86.4/$G$1)</f>
        <v>0.270012624594039</v>
      </c>
      <c r="H101" s="0" t="n">
        <f aca="false">COSH($E$1*B101*86.4/$G$1)</f>
        <v>1.03857605693747</v>
      </c>
      <c r="I101" s="0" t="n">
        <f aca="false">(($G$1^2*1000)/($E$1*$I$1))*(H101-1)</f>
        <v>0.0374079125700652</v>
      </c>
      <c r="J101" s="0" t="n">
        <f aca="false">$J$3*EXP(-$E$1*B101*86.4/$G$1)</f>
        <v>758.147409963258</v>
      </c>
      <c r="K101" s="0" t="n">
        <f aca="false">J100-J101</f>
        <v>2.14500741086567</v>
      </c>
    </row>
    <row r="102" customFormat="false" ht="12.8" hidden="false" customHeight="false" outlineLevel="0" collapsed="false">
      <c r="A102" s="0" t="n">
        <v>1</v>
      </c>
      <c r="B102" s="0" t="n">
        <f aca="false">B101+A102</f>
        <v>99</v>
      </c>
      <c r="C102" s="0" t="n">
        <f aca="false">$C$3+($G$1/($E$1*86.4))*SINH($E$1*B102*86.4/$G$1)</f>
        <v>44704.2959134176</v>
      </c>
      <c r="D102" s="0" t="n">
        <f aca="false">C102-$C$3-B102</f>
        <v>1.29591341761989</v>
      </c>
      <c r="E102" s="0" t="n">
        <f aca="false">$E$1*B102*86.4</f>
        <v>83910.816</v>
      </c>
      <c r="F102" s="0" t="n">
        <f aca="false">$G$1*G102</f>
        <v>81788.9756473626</v>
      </c>
      <c r="G102" s="0" t="n">
        <f aca="false">TANH($E$1*B102*86.4/$G$1)</f>
        <v>0.272629918824542</v>
      </c>
      <c r="H102" s="0" t="n">
        <f aca="false">COSH($E$1*B102*86.4/$G$1)</f>
        <v>1.03937249250657</v>
      </c>
      <c r="I102" s="0" t="n">
        <f aca="false">(($G$1^2*1000)/($E$1*$I$1))*(H102-1)</f>
        <v>0.0381802308032285</v>
      </c>
      <c r="J102" s="0" t="n">
        <f aca="false">$J$3*EXP(-$E$1*B102*86.4/$G$1)</f>
        <v>756.00845424604</v>
      </c>
      <c r="K102" s="0" t="n">
        <f aca="false">J101-J102</f>
        <v>2.13895571721775</v>
      </c>
    </row>
    <row r="103" customFormat="false" ht="12.8" hidden="false" customHeight="false" outlineLevel="0" collapsed="false">
      <c r="A103" s="0" t="n">
        <v>1</v>
      </c>
      <c r="B103" s="0" t="n">
        <f aca="false">B102+A103</f>
        <v>100</v>
      </c>
      <c r="C103" s="0" t="n">
        <f aca="false">$C$3+($G$1/($E$1*86.4))*SINH($E$1*B103*86.4/$G$1)</f>
        <v>44705.3356875845</v>
      </c>
      <c r="D103" s="0" t="n">
        <f aca="false">C103-$C$3-B103</f>
        <v>1.33568758451293</v>
      </c>
      <c r="E103" s="0" t="n">
        <f aca="false">$E$1*B103*86.4</f>
        <v>84758.4</v>
      </c>
      <c r="F103" s="0" t="n">
        <f aca="false">$G$1*G103</f>
        <v>82572.9552589785</v>
      </c>
      <c r="G103" s="0" t="n">
        <f aca="false">TANH($E$1*B103*86.4/$G$1)</f>
        <v>0.275243184196595</v>
      </c>
      <c r="H103" s="0" t="n">
        <f aca="false">COSH($E$1*B103*86.4/$G$1)</f>
        <v>1.04017722456765</v>
      </c>
      <c r="I103" s="0" t="n">
        <f aca="false">(($G$1^2*1000)/($E$1*$I$1))*(H103-1)</f>
        <v>0.0389605942974025</v>
      </c>
      <c r="J103" s="0" t="n">
        <f aca="false">$J$3*EXP(-$E$1*B103*86.4/$G$1)</f>
        <v>753.875533148871</v>
      </c>
      <c r="K103" s="0" t="n">
        <f aca="false">J102-J103</f>
        <v>2.13292109716895</v>
      </c>
    </row>
    <row r="104" customFormat="false" ht="12.8" hidden="false" customHeight="false" outlineLevel="0" collapsed="false">
      <c r="A104" s="0" t="n">
        <v>1</v>
      </c>
      <c r="B104" s="0" t="n">
        <f aca="false">B103+A104</f>
        <v>101</v>
      </c>
      <c r="C104" s="0" t="n">
        <f aca="false">$C$3+($G$1/($E$1*86.4))*SINH($E$1*B104*86.4/$G$1)</f>
        <v>44706.3762706344</v>
      </c>
      <c r="D104" s="0" t="n">
        <f aca="false">C104-$C$3-B104</f>
        <v>1.3762706343914</v>
      </c>
      <c r="E104" s="0" t="n">
        <f aca="false">$E$1*B104*86.4</f>
        <v>85605.984</v>
      </c>
      <c r="F104" s="0" t="n">
        <f aca="false">$G$1*G104</f>
        <v>83355.7165149352</v>
      </c>
      <c r="G104" s="0" t="n">
        <f aca="false">TANH($E$1*B104*86.4/$G$1)</f>
        <v>0.277852388383117</v>
      </c>
      <c r="H104" s="0" t="n">
        <f aca="false">COSH($E$1*B104*86.4/$G$1)</f>
        <v>1.04099025954425</v>
      </c>
      <c r="I104" s="0" t="n">
        <f aca="false">(($G$1^2*1000)/($E$1*$I$1))*(H104-1)</f>
        <v>0.0397490092816147</v>
      </c>
      <c r="J104" s="0" t="n">
        <f aca="false">$J$3*EXP(-$E$1*B104*86.4/$G$1)</f>
        <v>751.748629646322</v>
      </c>
      <c r="K104" s="0" t="n">
        <f aca="false">J103-J104</f>
        <v>2.12690350254923</v>
      </c>
    </row>
    <row r="105" customFormat="false" ht="12.8" hidden="false" customHeight="false" outlineLevel="0" collapsed="false">
      <c r="A105" s="0" t="n">
        <v>1</v>
      </c>
      <c r="B105" s="0" t="n">
        <f aca="false">B104+A105</f>
        <v>102</v>
      </c>
      <c r="C105" s="0" t="n">
        <f aca="false">$C$3+($G$1/($E$1*86.4))*SINH($E$1*B105*86.4/$G$1)</f>
        <v>44707.4176708734</v>
      </c>
      <c r="D105" s="0" t="n">
        <f aca="false">C105-$C$3-B105</f>
        <v>1.41767087340122</v>
      </c>
      <c r="E105" s="0" t="n">
        <f aca="false">$E$1*B105*86.4</f>
        <v>86453.568</v>
      </c>
      <c r="F105" s="0" t="n">
        <f aca="false">$G$1*G105</f>
        <v>84137.2497860675</v>
      </c>
      <c r="G105" s="0" t="n">
        <f aca="false">TANH($E$1*B105*86.4/$G$1)</f>
        <v>0.280457499286892</v>
      </c>
      <c r="H105" s="0" t="n">
        <f aca="false">COSH($E$1*B105*86.4/$G$1)</f>
        <v>1.04181160392621</v>
      </c>
      <c r="I105" s="0" t="n">
        <f aca="false">(($G$1^2*1000)/($E$1*$I$1))*(H105-1)</f>
        <v>0.0405454820491607</v>
      </c>
      <c r="J105" s="0" t="n">
        <f aca="false">$J$3*EXP(-$E$1*B105*86.4/$G$1)</f>
        <v>749.627726760997</v>
      </c>
      <c r="K105" s="0" t="n">
        <f aca="false">J104-J105</f>
        <v>2.12090288532488</v>
      </c>
    </row>
    <row r="106" customFormat="false" ht="12.8" hidden="false" customHeight="false" outlineLevel="0" collapsed="false">
      <c r="A106" s="0" t="n">
        <v>1</v>
      </c>
      <c r="B106" s="0" t="n">
        <f aca="false">B105+A106</f>
        <v>103</v>
      </c>
      <c r="C106" s="0" t="n">
        <f aca="false">$C$3+($G$1/($E$1*86.4))*SINH($E$1*B106*86.4/$G$1)</f>
        <v>44708.4598966142</v>
      </c>
      <c r="D106" s="0" t="n">
        <f aca="false">C106-$C$3-B106</f>
        <v>1.45989661422936</v>
      </c>
      <c r="E106" s="0" t="n">
        <f aca="false">$E$1*B106*86.4</f>
        <v>87301.152</v>
      </c>
      <c r="F106" s="0" t="n">
        <f aca="false">$G$1*G106</f>
        <v>84917.5455125449</v>
      </c>
      <c r="G106" s="0" t="n">
        <f aca="false">TANH($E$1*B106*86.4/$G$1)</f>
        <v>0.283058485041816</v>
      </c>
      <c r="H106" s="0" t="n">
        <f aca="false">COSH($E$1*B106*86.4/$G$1)</f>
        <v>1.04264126426965</v>
      </c>
      <c r="I106" s="0" t="n">
        <f aca="false">(($G$1^2*1000)/($E$1*$I$1))*(H106-1)</f>
        <v>0.0413500189576552</v>
      </c>
      <c r="J106" s="0" t="n">
        <f aca="false">$J$3*EXP(-$E$1*B106*86.4/$G$1)</f>
        <v>747.512807563399</v>
      </c>
      <c r="K106" s="0" t="n">
        <f aca="false">J105-J106</f>
        <v>2.11491919759806</v>
      </c>
    </row>
    <row r="107" customFormat="false" ht="12.8" hidden="false" customHeight="false" outlineLevel="0" collapsed="false">
      <c r="A107" s="0" t="n">
        <v>1</v>
      </c>
      <c r="B107" s="0" t="n">
        <f aca="false">B106+A107</f>
        <v>104</v>
      </c>
      <c r="C107" s="0" t="n">
        <f aca="false">$C$3+($G$1/($E$1*86.4))*SINH($E$1*B107*86.4/$G$1)</f>
        <v>44709.5029561761</v>
      </c>
      <c r="D107" s="0" t="n">
        <f aca="false">C107-$C$3-B107</f>
        <v>1.50295617614029</v>
      </c>
      <c r="E107" s="0" t="n">
        <f aca="false">$E$1*B107*86.4</f>
        <v>88148.736</v>
      </c>
      <c r="F107" s="0" t="n">
        <f aca="false">$G$1*G107</f>
        <v>85696.5942042383</v>
      </c>
      <c r="G107" s="0" t="n">
        <f aca="false">TANH($E$1*B107*86.4/$G$1)</f>
        <v>0.285655314014128</v>
      </c>
      <c r="H107" s="0" t="n">
        <f aca="false">COSH($E$1*B107*86.4/$G$1)</f>
        <v>1.04347924719711</v>
      </c>
      <c r="I107" s="0" t="n">
        <f aca="false">(($G$1^2*1000)/($E$1*$I$1))*(H107-1)</f>
        <v>0.0421626264290828</v>
      </c>
      <c r="J107" s="0" t="n">
        <f aca="false">$J$3*EXP(-$E$1*B107*86.4/$G$1)</f>
        <v>745.403855171794</v>
      </c>
      <c r="K107" s="0" t="n">
        <f aca="false">J106-J107</f>
        <v>2.10895239160504</v>
      </c>
    </row>
    <row r="108" customFormat="false" ht="12.8" hidden="false" customHeight="false" outlineLevel="0" collapsed="false">
      <c r="A108" s="0" t="n">
        <v>1</v>
      </c>
      <c r="B108" s="0" t="n">
        <f aca="false">B107+A108</f>
        <v>105</v>
      </c>
      <c r="C108" s="0" t="n">
        <f aca="false">$C$3+($G$1/($E$1*86.4))*SINH($E$1*B108*86.4/$G$1)</f>
        <v>44710.5468578851</v>
      </c>
      <c r="D108" s="0" t="n">
        <f aca="false">C108-$C$3-B108</f>
        <v>1.54685788504867</v>
      </c>
      <c r="E108" s="0" t="n">
        <f aca="false">$E$1*B108*86.4</f>
        <v>88996.32</v>
      </c>
      <c r="F108" s="0" t="n">
        <f aca="false">$G$1*G108</f>
        <v>86474.38644108</v>
      </c>
      <c r="G108" s="0" t="n">
        <f aca="false">TANH($E$1*B108*86.4/$G$1)</f>
        <v>0.2882479548036</v>
      </c>
      <c r="H108" s="0" t="n">
        <f aca="false">COSH($E$1*B108*86.4/$G$1)</f>
        <v>1.04432555939754</v>
      </c>
      <c r="I108" s="0" t="n">
        <f aca="false">(($G$1^2*1000)/($E$1*$I$1))*(H108-1)</f>
        <v>0.0429833109498491</v>
      </c>
      <c r="J108" s="0" t="n">
        <f aca="false">$J$3*EXP(-$E$1*B108*86.4/$G$1)</f>
        <v>743.300852752075</v>
      </c>
      <c r="K108" s="0" t="n">
        <f aca="false">J107-J108</f>
        <v>2.10300241971845</v>
      </c>
    </row>
    <row r="109" customFormat="false" ht="12.8" hidden="false" customHeight="false" outlineLevel="0" collapsed="false">
      <c r="A109" s="0" t="n">
        <v>1</v>
      </c>
      <c r="B109" s="0" t="n">
        <f aca="false">B108+A109</f>
        <v>106</v>
      </c>
      <c r="C109" s="0" t="n">
        <f aca="false">$C$3+($G$1/($E$1*86.4))*SINH($E$1*B109*86.4/$G$1)</f>
        <v>44711.5916100736</v>
      </c>
      <c r="D109" s="0" t="n">
        <f aca="false">C109-$C$3-B109</f>
        <v>1.59161007360672</v>
      </c>
      <c r="E109" s="0" t="n">
        <f aca="false">$E$1*B109*86.4</f>
        <v>89843.904</v>
      </c>
      <c r="F109" s="0" t="n">
        <f aca="false">$G$1*G109</f>
        <v>87250.9128734152</v>
      </c>
      <c r="G109" s="0" t="n">
        <f aca="false">TANH($E$1*B109*86.4/$G$1)</f>
        <v>0.290836376244717</v>
      </c>
      <c r="H109" s="0" t="n">
        <f aca="false">COSH($E$1*B109*86.4/$G$1)</f>
        <v>1.04518020762639</v>
      </c>
      <c r="I109" s="0" t="n">
        <f aca="false">(($G$1^2*1000)/($E$1*$I$1))*(H109-1)</f>
        <v>0.0438120790708321</v>
      </c>
      <c r="J109" s="0" t="n">
        <f aca="false">$J$3*EXP(-$E$1*B109*86.4/$G$1)</f>
        <v>741.203783517632</v>
      </c>
      <c r="K109" s="0" t="n">
        <f aca="false">J108-J109</f>
        <v>2.09706923444355</v>
      </c>
    </row>
    <row r="110" customFormat="false" ht="12.8" hidden="false" customHeight="false" outlineLevel="0" collapsed="false">
      <c r="A110" s="0" t="n">
        <v>1</v>
      </c>
      <c r="B110" s="0" t="n">
        <f aca="false">B109+A110</f>
        <v>107</v>
      </c>
      <c r="C110" s="0" t="n">
        <f aca="false">$C$3+($G$1/($E$1*86.4))*SINH($E$1*B110*86.4/$G$1)</f>
        <v>44712.6372210813</v>
      </c>
      <c r="D110" s="0" t="n">
        <f aca="false">C110-$C$3-B110</f>
        <v>1.63722108124784</v>
      </c>
      <c r="E110" s="0" t="n">
        <f aca="false">$E$1*B110*86.4</f>
        <v>90691.488</v>
      </c>
      <c r="F110" s="0" t="n">
        <f aca="false">$G$1*G110</f>
        <v>88026.1642223449</v>
      </c>
      <c r="G110" s="0" t="n">
        <f aca="false">TANH($E$1*B110*86.4/$G$1)</f>
        <v>0.293420547407816</v>
      </c>
      <c r="H110" s="0" t="n">
        <f aca="false">COSH($E$1*B110*86.4/$G$1)</f>
        <v>1.04604319870564</v>
      </c>
      <c r="I110" s="0" t="n">
        <f aca="false">(($G$1^2*1000)/($E$1*$I$1))*(H110-1)</f>
        <v>0.0446489374074348</v>
      </c>
      <c r="J110" s="0" t="n">
        <f aca="false">$J$3*EXP(-$E$1*B110*86.4/$G$1)</f>
        <v>739.112630729211</v>
      </c>
      <c r="K110" s="0" t="n">
        <f aca="false">J109-J110</f>
        <v>2.09115278842057</v>
      </c>
    </row>
    <row r="111" customFormat="false" ht="12.8" hidden="false" customHeight="false" outlineLevel="0" collapsed="false">
      <c r="A111" s="0" t="n">
        <v>1</v>
      </c>
      <c r="B111" s="0" t="n">
        <f aca="false">B110+A111</f>
        <v>108</v>
      </c>
      <c r="C111" s="0" t="n">
        <f aca="false">$C$3+($G$1/($E$1*86.4))*SINH($E$1*B111*86.4/$G$1)</f>
        <v>44713.6836992543</v>
      </c>
      <c r="D111" s="0" t="n">
        <f aca="false">C111-$C$3-B111</f>
        <v>1.68369925426668</v>
      </c>
      <c r="E111" s="0" t="n">
        <f aca="false">$E$1*B111*86.4</f>
        <v>91539.072</v>
      </c>
      <c r="F111" s="0" t="n">
        <f aca="false">$G$1*G111</f>
        <v>88800.1312800624</v>
      </c>
      <c r="G111" s="0" t="n">
        <f aca="false">TANH($E$1*B111*86.4/$G$1)</f>
        <v>0.296000437600208</v>
      </c>
      <c r="H111" s="0" t="n">
        <f aca="false">COSH($E$1*B111*86.4/$G$1)</f>
        <v>1.04691453952387</v>
      </c>
      <c r="I111" s="0" t="n">
        <f aca="false">(($G$1^2*1000)/($E$1*$I$1))*(H111-1)</f>
        <v>0.0454938926396383</v>
      </c>
      <c r="J111" s="0" t="n">
        <f aca="false">$J$3*EXP(-$E$1*B111*86.4/$G$1)</f>
        <v>737.027377694788</v>
      </c>
      <c r="K111" s="0" t="n">
        <f aca="false">J110-J111</f>
        <v>2.08525303442343</v>
      </c>
    </row>
    <row r="112" customFormat="false" ht="12.8" hidden="false" customHeight="false" outlineLevel="0" collapsed="false">
      <c r="A112" s="0" t="n">
        <v>1</v>
      </c>
      <c r="B112" s="0" t="n">
        <f aca="false">B111+A112</f>
        <v>109</v>
      </c>
      <c r="C112" s="0" t="n">
        <f aca="false">$C$3+($G$1/($E$1*86.4))*SINH($E$1*B112*86.4/$G$1)</f>
        <v>44714.7310529459</v>
      </c>
      <c r="D112" s="0" t="n">
        <f aca="false">C112-$C$3-B112</f>
        <v>1.73105294586276</v>
      </c>
      <c r="E112" s="0" t="n">
        <f aca="false">$E$1*B112*86.4</f>
        <v>92386.656</v>
      </c>
      <c r="F112" s="0" t="n">
        <f aca="false">$G$1*G112</f>
        <v>89572.8049101805</v>
      </c>
      <c r="G112" s="0" t="n">
        <f aca="false">TANH($E$1*B112*86.4/$G$1)</f>
        <v>0.298576016367268</v>
      </c>
      <c r="H112" s="0" t="n">
        <f aca="false">COSH($E$1*B112*86.4/$G$1)</f>
        <v>1.04779423703631</v>
      </c>
      <c r="I112" s="0" t="n">
        <f aca="false">(($G$1^2*1000)/($E$1*$I$1))*(H112-1)</f>
        <v>0.0463469515120548</v>
      </c>
      <c r="J112" s="0" t="n">
        <f aca="false">$J$3*EXP(-$E$1*B112*86.4/$G$1)</f>
        <v>734.948007769429</v>
      </c>
      <c r="K112" s="0" t="n">
        <f aca="false">J111-J112</f>
        <v>2.07936992535883</v>
      </c>
    </row>
    <row r="113" customFormat="false" ht="12.8" hidden="false" customHeight="false" outlineLevel="0" collapsed="false">
      <c r="A113" s="0" t="n">
        <v>1</v>
      </c>
      <c r="B113" s="0" t="n">
        <f aca="false">B112+A113</f>
        <v>110</v>
      </c>
      <c r="C113" s="0" t="n">
        <f aca="false">$C$3+($G$1/($E$1*86.4))*SINH($E$1*B113*86.4/$G$1)</f>
        <v>44715.7792905162</v>
      </c>
      <c r="D113" s="0" t="n">
        <f aca="false">C113-$C$3-B113</f>
        <v>1.77929051624233</v>
      </c>
      <c r="E113" s="0" t="n">
        <f aca="false">$E$1*B113*86.4</f>
        <v>93234.24</v>
      </c>
      <c r="F113" s="0" t="n">
        <f aca="false">$G$1*G113</f>
        <v>90344.1760480511</v>
      </c>
      <c r="G113" s="0" t="n">
        <f aca="false">TANH($E$1*B113*86.4/$G$1)</f>
        <v>0.301147253493504</v>
      </c>
      <c r="H113" s="0" t="n">
        <f aca="false">COSH($E$1*B113*86.4/$G$1)</f>
        <v>1.04868229826489</v>
      </c>
      <c r="I113" s="0" t="n">
        <f aca="false">(($G$1^2*1000)/($E$1*$I$1))*(H113-1)</f>
        <v>0.0472081208339816</v>
      </c>
      <c r="J113" s="0" t="n">
        <f aca="false">$J$3*EXP(-$E$1*B113*86.4/$G$1)</f>
        <v>732.874504355162</v>
      </c>
      <c r="K113" s="0" t="n">
        <f aca="false">J112-J113</f>
        <v>2.07350341426684</v>
      </c>
    </row>
    <row r="114" customFormat="false" ht="12.8" hidden="false" customHeight="false" outlineLevel="0" collapsed="false">
      <c r="A114" s="0" t="n">
        <v>1</v>
      </c>
      <c r="B114" s="0" t="n">
        <f aca="false">B113+A114</f>
        <v>111</v>
      </c>
      <c r="C114" s="0" t="n">
        <f aca="false">$C$3+($G$1/($E$1*86.4))*SINH($E$1*B114*86.4/$G$1)</f>
        <v>44716.8284203327</v>
      </c>
      <c r="D114" s="0" t="n">
        <f aca="false">C114-$C$3-B114</f>
        <v>1.82842033266206</v>
      </c>
      <c r="E114" s="0" t="n">
        <f aca="false">$E$1*B114*86.4</f>
        <v>94081.824</v>
      </c>
      <c r="F114" s="0" t="n">
        <f aca="false">$G$1*G114</f>
        <v>91114.2357010771</v>
      </c>
      <c r="G114" s="0" t="n">
        <f aca="false">TANH($E$1*B114*86.4/$G$1)</f>
        <v>0.30371411900359</v>
      </c>
      <c r="H114" s="0" t="n">
        <f aca="false">COSH($E$1*B114*86.4/$G$1)</f>
        <v>1.0495787302983</v>
      </c>
      <c r="I114" s="0" t="n">
        <f aca="false">(($G$1^2*1000)/($E$1*$I$1))*(H114-1)</f>
        <v>0.0480774074794544</v>
      </c>
      <c r="J114" s="0" t="n">
        <f aca="false">$J$3*EXP(-$E$1*B114*86.4/$G$1)</f>
        <v>730.806850900843</v>
      </c>
      <c r="K114" s="0" t="n">
        <f aca="false">J113-J114</f>
        <v>2.06765345431916</v>
      </c>
    </row>
    <row r="115" customFormat="false" ht="12.8" hidden="false" customHeight="false" outlineLevel="0" collapsed="false">
      <c r="A115" s="0" t="n">
        <v>1</v>
      </c>
      <c r="B115" s="0" t="n">
        <f aca="false">B114+A115</f>
        <v>112</v>
      </c>
      <c r="C115" s="0" t="n">
        <f aca="false">$C$3+($G$1/($E$1*86.4))*SINH($E$1*B115*86.4/$G$1)</f>
        <v>44717.8784507695</v>
      </c>
      <c r="D115" s="0" t="n">
        <f aca="false">C115-$C$3-B115</f>
        <v>1.87845076948724</v>
      </c>
      <c r="E115" s="0" t="n">
        <f aca="false">$E$1*B115*86.4</f>
        <v>94929.408</v>
      </c>
      <c r="F115" s="0" t="n">
        <f aca="false">$G$1*G115</f>
        <v>91882.974949016</v>
      </c>
      <c r="G115" s="0" t="n">
        <f aca="false">TANH($E$1*B115*86.4/$G$1)</f>
        <v>0.306276583163387</v>
      </c>
      <c r="H115" s="0" t="n">
        <f aca="false">COSH($E$1*B115*86.4/$G$1)</f>
        <v>1.05048354029205</v>
      </c>
      <c r="I115" s="0" t="n">
        <f aca="false">(($G$1^2*1000)/($E$1*$I$1))*(H115-1)</f>
        <v>0.0489548183873047</v>
      </c>
      <c r="J115" s="0" t="n">
        <f aca="false">$J$3*EXP(-$E$1*B115*86.4/$G$1)</f>
        <v>728.745030902022</v>
      </c>
      <c r="K115" s="0" t="n">
        <f aca="false">J114-J115</f>
        <v>2.06181999882074</v>
      </c>
    </row>
    <row r="116" customFormat="false" ht="12.8" hidden="false" customHeight="false" outlineLevel="0" collapsed="false">
      <c r="A116" s="0" t="n">
        <v>1</v>
      </c>
      <c r="B116" s="0" t="n">
        <f aca="false">B115+A116</f>
        <v>113</v>
      </c>
      <c r="C116" s="0" t="n">
        <f aca="false">$C$3+($G$1/($E$1*86.4))*SINH($E$1*B116*86.4/$G$1)</f>
        <v>44718.9293902083</v>
      </c>
      <c r="D116" s="0" t="n">
        <f aca="false">C116-$C$3-B116</f>
        <v>1.9293902083009</v>
      </c>
      <c r="E116" s="0" t="n">
        <f aca="false">$E$1*B116*86.4</f>
        <v>95776.992</v>
      </c>
      <c r="F116" s="0" t="n">
        <f aca="false">$G$1*G116</f>
        <v>92650.384944276</v>
      </c>
      <c r="G116" s="0" t="n">
        <f aca="false">TANH($E$1*B116*86.4/$G$1)</f>
        <v>0.30883461648092</v>
      </c>
      <c r="H116" s="0" t="n">
        <f aca="false">COSH($E$1*B116*86.4/$G$1)</f>
        <v>1.05139673546853</v>
      </c>
      <c r="I116" s="0" t="n">
        <f aca="false">(($G$1^2*1000)/($E$1*$I$1))*(H116-1)</f>
        <v>0.0498403605612121</v>
      </c>
      <c r="J116" s="0" t="n">
        <f aca="false">$J$3*EXP(-$E$1*B116*86.4/$G$1)</f>
        <v>726.689027900815</v>
      </c>
      <c r="K116" s="0" t="n">
        <f aca="false">J115-J116</f>
        <v>2.05600300120716</v>
      </c>
    </row>
    <row r="117" customFormat="false" ht="12.8" hidden="false" customHeight="false" outlineLevel="0" collapsed="false">
      <c r="A117" s="0" t="n">
        <v>1</v>
      </c>
      <c r="B117" s="0" t="n">
        <f aca="false">B116+A117</f>
        <v>114</v>
      </c>
      <c r="C117" s="0" t="n">
        <f aca="false">$C$3+($G$1/($E$1*86.4))*SINH($E$1*B117*86.4/$G$1)</f>
        <v>44719.9812470379</v>
      </c>
      <c r="D117" s="0" t="n">
        <f aca="false">C117-$C$3-B117</f>
        <v>1.98124703791837</v>
      </c>
      <c r="E117" s="0" t="n">
        <f aca="false">$E$1*B117*86.4</f>
        <v>96624.576</v>
      </c>
      <c r="F117" s="0" t="n">
        <f aca="false">$G$1*G117</f>
        <v>93416.4569122032</v>
      </c>
      <c r="G117" s="0" t="n">
        <f aca="false">TANH($E$1*B117*86.4/$G$1)</f>
        <v>0.311388189707344</v>
      </c>
      <c r="H117" s="0" t="n">
        <f aca="false">COSH($E$1*B117*86.4/$G$1)</f>
        <v>1.05231832311706</v>
      </c>
      <c r="I117" s="0" t="n">
        <f aca="false">(($G$1^2*1000)/($E$1*$I$1))*(H117-1)</f>
        <v>0.0507340410697626</v>
      </c>
      <c r="J117" s="0" t="n">
        <f aca="false">$J$3*EXP(-$E$1*B117*86.4/$G$1)</f>
        <v>724.638825485768</v>
      </c>
      <c r="K117" s="0" t="n">
        <f aca="false">J116-J117</f>
        <v>2.05020241504667</v>
      </c>
    </row>
    <row r="118" customFormat="false" ht="12.8" hidden="false" customHeight="false" outlineLevel="0" collapsed="false">
      <c r="A118" s="0" t="n">
        <v>1</v>
      </c>
      <c r="B118" s="0" t="n">
        <f aca="false">B117+A118</f>
        <v>115</v>
      </c>
      <c r="C118" s="0" t="n">
        <f aca="false">$C$3+($G$1/($E$1*86.4))*SINH($E$1*B118*86.4/$G$1)</f>
        <v>44721.0340296545</v>
      </c>
      <c r="D118" s="0" t="n">
        <f aca="false">C118-$C$3-B118</f>
        <v>2.03402965448186</v>
      </c>
      <c r="E118" s="0" t="n">
        <f aca="false">$E$1*B118*86.4</f>
        <v>97472.16</v>
      </c>
      <c r="F118" s="0" t="n">
        <f aca="false">$G$1*G118</f>
        <v>94181.1821513621</v>
      </c>
      <c r="G118" s="0" t="n">
        <f aca="false">TANH($E$1*B118*86.4/$G$1)</f>
        <v>0.313937273837874</v>
      </c>
      <c r="H118" s="0" t="n">
        <f aca="false">COSH($E$1*B118*86.4/$G$1)</f>
        <v>1.05324831059394</v>
      </c>
      <c r="I118" s="0" t="n">
        <f aca="false">(($G$1^2*1000)/($E$1*$I$1))*(H118-1)</f>
        <v>0.0516358670465037</v>
      </c>
      <c r="J118" s="0" t="n">
        <f aca="false">$J$3*EXP(-$E$1*B118*86.4/$G$1)</f>
        <v>722.594407291731</v>
      </c>
      <c r="K118" s="0" t="n">
        <f aca="false">J117-J118</f>
        <v>2.04441819403689</v>
      </c>
    </row>
    <row r="119" customFormat="false" ht="12.8" hidden="false" customHeight="false" outlineLevel="0" collapsed="false">
      <c r="A119" s="0" t="n">
        <v>1</v>
      </c>
      <c r="B119" s="0" t="n">
        <f aca="false">B118+A119</f>
        <v>116</v>
      </c>
      <c r="C119" s="0" t="n">
        <f aca="false">$C$3+($G$1/($E$1*86.4))*SINH($E$1*B119*86.4/$G$1)</f>
        <v>44722.0877464615</v>
      </c>
      <c r="D119" s="0" t="n">
        <f aca="false">C119-$C$3-B119</f>
        <v>2.08774646151869</v>
      </c>
      <c r="E119" s="0" t="n">
        <f aca="false">$E$1*B119*86.4</f>
        <v>98319.744</v>
      </c>
      <c r="F119" s="0" t="n">
        <f aca="false">$G$1*G119</f>
        <v>94944.5520338069</v>
      </c>
      <c r="G119" s="0" t="n">
        <f aca="false">TANH($E$1*B119*86.4/$G$1)</f>
        <v>0.31648184011269</v>
      </c>
      <c r="H119" s="0" t="n">
        <f aca="false">COSH($E$1*B119*86.4/$G$1)</f>
        <v>1.05418670532253</v>
      </c>
      <c r="I119" s="0" t="n">
        <f aca="false">(($G$1^2*1000)/($E$1*$I$1))*(H119-1)</f>
        <v>0.0525458456900021</v>
      </c>
      <c r="J119" s="0" t="n">
        <f aca="false">$J$3*EXP(-$E$1*B119*86.4/$G$1)</f>
        <v>720.555756999724</v>
      </c>
      <c r="K119" s="0" t="n">
        <f aca="false">J118-J119</f>
        <v>2.03865029200733</v>
      </c>
    </row>
    <row r="120" customFormat="false" ht="12.8" hidden="false" customHeight="false" outlineLevel="0" collapsed="false">
      <c r="A120" s="0" t="n">
        <v>1</v>
      </c>
      <c r="B120" s="0" t="n">
        <f aca="false">B119+A120</f>
        <v>117</v>
      </c>
      <c r="C120" s="0" t="n">
        <f aca="false">$C$3+($G$1/($E$1*86.4))*SINH($E$1*B120*86.4/$G$1)</f>
        <v>44723.14240587</v>
      </c>
      <c r="D120" s="0" t="n">
        <f aca="false">C120-$C$3-B120</f>
        <v>2.14240587003587</v>
      </c>
      <c r="E120" s="0" t="n">
        <f aca="false">$E$1*B120*86.4</f>
        <v>99167.328</v>
      </c>
      <c r="F120" s="0" t="n">
        <f aca="false">$G$1*G120</f>
        <v>95706.5580053458</v>
      </c>
      <c r="G120" s="0" t="n">
        <f aca="false">TANH($E$1*B120*86.4/$G$1)</f>
        <v>0.319021860017819</v>
      </c>
      <c r="H120" s="0" t="n">
        <f aca="false">COSH($E$1*B120*86.4/$G$1)</f>
        <v>1.05513351479331</v>
      </c>
      <c r="I120" s="0" t="n">
        <f aca="false">(($G$1^2*1000)/($E$1*$I$1))*(H120-1)</f>
        <v>0.0534639842639004</v>
      </c>
      <c r="J120" s="0" t="n">
        <f aca="false">$J$3*EXP(-$E$1*B120*86.4/$G$1)</f>
        <v>718.522858336806</v>
      </c>
      <c r="K120" s="0" t="n">
        <f aca="false">J119-J120</f>
        <v>2.03289866291766</v>
      </c>
    </row>
    <row r="121" customFormat="false" ht="12.8" hidden="false" customHeight="false" outlineLevel="0" collapsed="false">
      <c r="A121" s="0" t="n">
        <v>1</v>
      </c>
      <c r="B121" s="0" t="n">
        <f aca="false">B120+A121</f>
        <v>118</v>
      </c>
      <c r="C121" s="0" t="n">
        <f aca="false">$C$3+($G$1/($E$1*86.4))*SINH($E$1*B121*86.4/$G$1)</f>
        <v>44724.1980162985</v>
      </c>
      <c r="D121" s="0" t="n">
        <f aca="false">C121-$C$3-B121</f>
        <v>2.19801629854192</v>
      </c>
      <c r="E121" s="0" t="n">
        <f aca="false">$E$1*B121*86.4</f>
        <v>100014.912</v>
      </c>
      <c r="F121" s="0" t="n">
        <f aca="false">$G$1*G121</f>
        <v>96467.1915857966</v>
      </c>
      <c r="G121" s="0" t="n">
        <f aca="false">TANH($E$1*B121*86.4/$G$1)</f>
        <v>0.321557305285989</v>
      </c>
      <c r="H121" s="0" t="n">
        <f aca="false">COSH($E$1*B121*86.4/$G$1)</f>
        <v>1.05608874656389</v>
      </c>
      <c r="I121" s="0" t="n">
        <f aca="false">(($G$1^2*1000)/($E$1*$I$1))*(H121-1)</f>
        <v>0.0543902900969757</v>
      </c>
      <c r="J121" s="0" t="n">
        <f aca="false">$J$3*EXP(-$E$1*B121*86.4/$G$1)</f>
        <v>716.49569507595</v>
      </c>
      <c r="K121" s="0" t="n">
        <f aca="false">J120-J121</f>
        <v>2.02716326085681</v>
      </c>
    </row>
    <row r="122" customFormat="false" ht="12.8" hidden="false" customHeight="false" outlineLevel="0" collapsed="false">
      <c r="A122" s="0" t="n">
        <v>1</v>
      </c>
      <c r="B122" s="0" t="n">
        <f aca="false">B121+A122</f>
        <v>119</v>
      </c>
      <c r="C122" s="0" t="n">
        <f aca="false">$C$3+($G$1/($E$1*86.4))*SINH($E$1*B122*86.4/$G$1)</f>
        <v>44725.2545861731</v>
      </c>
      <c r="D122" s="0" t="n">
        <f aca="false">C122-$C$3-B122</f>
        <v>2.25458617314143</v>
      </c>
      <c r="E122" s="0" t="n">
        <f aca="false">$E$1*B122*86.4</f>
        <v>100862.496</v>
      </c>
      <c r="F122" s="0" t="n">
        <f aca="false">$G$1*G122</f>
        <v>97226.4443692348</v>
      </c>
      <c r="G122" s="0" t="n">
        <f aca="false">TANH($E$1*B122*86.4/$G$1)</f>
        <v>0.324088147897449</v>
      </c>
      <c r="H122" s="0" t="n">
        <f aca="false">COSH($E$1*B122*86.4/$G$1)</f>
        <v>1.05705240825915</v>
      </c>
      <c r="I122" s="0" t="n">
        <f aca="false">(($G$1^2*1000)/($E$1*$I$1))*(H122-1)</f>
        <v>0.0553247705831978</v>
      </c>
      <c r="J122" s="0" t="n">
        <f aca="false">$J$3*EXP(-$E$1*B122*86.4/$G$1)</f>
        <v>714.474251035906</v>
      </c>
      <c r="K122" s="0" t="n">
        <f aca="false">J121-J122</f>
        <v>2.02144404004355</v>
      </c>
    </row>
    <row r="123" customFormat="false" ht="12.8" hidden="false" customHeight="false" outlineLevel="0" collapsed="false">
      <c r="A123" s="0" t="n">
        <v>1</v>
      </c>
      <c r="B123" s="0" t="n">
        <f aca="false">B122+A123</f>
        <v>120</v>
      </c>
      <c r="C123" s="0" t="n">
        <f aca="false">$C$3+($G$1/($E$1*86.4))*SINH($E$1*B123*86.4/$G$1)</f>
        <v>44726.3121239276</v>
      </c>
      <c r="D123" s="0" t="n">
        <f aca="false">C123-$C$3-B123</f>
        <v>2.31212392760062</v>
      </c>
      <c r="E123" s="0" t="n">
        <f aca="false">$E$1*B123*86.4</f>
        <v>101710.08</v>
      </c>
      <c r="F123" s="0" t="n">
        <f aca="false">$G$1*G123</f>
        <v>97984.3080242338</v>
      </c>
      <c r="G123" s="0" t="n">
        <f aca="false">TANH($E$1*B123*86.4/$G$1)</f>
        <v>0.326614360080779</v>
      </c>
      <c r="H123" s="0" t="n">
        <f aca="false">COSH($E$1*B123*86.4/$G$1)</f>
        <v>1.05802450757124</v>
      </c>
      <c r="I123" s="0" t="n">
        <f aca="false">(($G$1^2*1000)/($E$1*$I$1))*(H123-1)</f>
        <v>0.0562674331817888</v>
      </c>
      <c r="J123" s="0" t="n">
        <f aca="false">$J$3*EXP(-$E$1*B123*86.4/$G$1)</f>
        <v>712.45851008108</v>
      </c>
      <c r="K123" s="0" t="n">
        <f aca="false">J122-J123</f>
        <v>2.0157409548259</v>
      </c>
    </row>
    <row r="124" customFormat="false" ht="12.8" hidden="false" customHeight="false" outlineLevel="0" collapsed="false">
      <c r="A124" s="0" t="n">
        <v>1</v>
      </c>
      <c r="B124" s="0" t="n">
        <f aca="false">B123+A124</f>
        <v>121</v>
      </c>
      <c r="C124" s="0" t="n">
        <f aca="false">$C$3+($G$1/($E$1*86.4))*SINH($E$1*B124*86.4/$G$1)</f>
        <v>44727.3706380034</v>
      </c>
      <c r="D124" s="0" t="n">
        <f aca="false">C124-$C$3-B124</f>
        <v>2.37063800340547</v>
      </c>
      <c r="E124" s="0" t="n">
        <f aca="false">$E$1*B124*86.4</f>
        <v>102557.664</v>
      </c>
      <c r="F124" s="0" t="n">
        <f aca="false">$G$1*G124</f>
        <v>98740.7742940966</v>
      </c>
      <c r="G124" s="0" t="n">
        <f aca="false">TANH($E$1*B124*86.4/$G$1)</f>
        <v>0.329135914313655</v>
      </c>
      <c r="H124" s="0" t="n">
        <f aca="false">COSH($E$1*B124*86.4/$G$1)</f>
        <v>1.05900505225966</v>
      </c>
      <c r="I124" s="0" t="n">
        <f aca="false">(($G$1^2*1000)/($E$1*$I$1))*(H124-1)</f>
        <v>0.0572182854172814</v>
      </c>
      <c r="J124" s="0" t="n">
        <f aca="false">$J$3*EXP(-$E$1*B124*86.4/$G$1)</f>
        <v>710.448456121399</v>
      </c>
      <c r="K124" s="0" t="n">
        <f aca="false">J123-J124</f>
        <v>2.01005395968093</v>
      </c>
    </row>
    <row r="125" customFormat="false" ht="12.8" hidden="false" customHeight="false" outlineLevel="0" collapsed="false">
      <c r="A125" s="0" t="n">
        <v>1</v>
      </c>
      <c r="B125" s="0" t="n">
        <f aca="false">B124+A125</f>
        <v>122</v>
      </c>
      <c r="C125" s="0" t="n">
        <f aca="false">$C$3+($G$1/($E$1*86.4))*SINH($E$1*B125*86.4/$G$1)</f>
        <v>44728.4301368499</v>
      </c>
      <c r="D125" s="0" t="n">
        <f aca="false">C125-$C$3-B125</f>
        <v>2.43013684984908</v>
      </c>
      <c r="E125" s="0" t="n">
        <f aca="false">$E$1*B125*86.4</f>
        <v>103405.248</v>
      </c>
      <c r="F125" s="0" t="n">
        <f aca="false">$G$1*G125</f>
        <v>99495.8349970804</v>
      </c>
      <c r="G125" s="0" t="n">
        <f aca="false">TANH($E$1*B125*86.4/$G$1)</f>
        <v>0.331652783323601</v>
      </c>
      <c r="H125" s="0" t="n">
        <f aca="false">COSH($E$1*B125*86.4/$G$1)</f>
        <v>1.05999405015133</v>
      </c>
      <c r="I125" s="0" t="n">
        <f aca="false">(($G$1^2*1000)/($E$1*$I$1))*(H125-1)</f>
        <v>0.0581773348795802</v>
      </c>
      <c r="J125" s="0" t="n">
        <f aca="false">$J$3*EXP(-$E$1*B125*86.4/$G$1)</f>
        <v>708.444073112186</v>
      </c>
      <c r="K125" s="0" t="n">
        <f aca="false">J124-J125</f>
        <v>2.00438300921337</v>
      </c>
    </row>
    <row r="126" customFormat="false" ht="12.8" hidden="false" customHeight="false" outlineLevel="0" collapsed="false">
      <c r="A126" s="0" t="n">
        <v>1</v>
      </c>
      <c r="B126" s="0" t="n">
        <f aca="false">B125+A126</f>
        <v>123</v>
      </c>
      <c r="C126" s="0" t="n">
        <f aca="false">$C$3+($G$1/($E$1*86.4))*SINH($E$1*B126*86.4/$G$1)</f>
        <v>44729.4906289241</v>
      </c>
      <c r="D126" s="0" t="n">
        <f aca="false">C126-$C$3-B126</f>
        <v>2.49062892407528</v>
      </c>
      <c r="E126" s="0" t="n">
        <f aca="false">$E$1*B126*86.4</f>
        <v>104252.832</v>
      </c>
      <c r="F126" s="0" t="n">
        <f aca="false">$G$1*G126</f>
        <v>100249.482026612</v>
      </c>
      <c r="G126" s="0" t="n">
        <f aca="false">TANH($E$1*B126*86.4/$G$1)</f>
        <v>0.334164940088708</v>
      </c>
      <c r="H126" s="0" t="n">
        <f aca="false">COSH($E$1*B126*86.4/$G$1)</f>
        <v>1.06099150914064</v>
      </c>
      <c r="I126" s="0" t="n">
        <f aca="false">(($G$1^2*1000)/($E$1*$I$1))*(H126-1)</f>
        <v>0.0591445892240217</v>
      </c>
      <c r="J126" s="0" t="n">
        <f aca="false">$J$3*EXP(-$E$1*B126*86.4/$G$1)</f>
        <v>706.445345054029</v>
      </c>
      <c r="K126" s="0" t="n">
        <f aca="false">J125-J126</f>
        <v>1.99872805815676</v>
      </c>
    </row>
    <row r="127" customFormat="false" ht="12.8" hidden="false" customHeight="false" outlineLevel="0" collapsed="false">
      <c r="A127" s="0" t="n">
        <v>1</v>
      </c>
      <c r="B127" s="0" t="n">
        <f aca="false">B126+A127</f>
        <v>124</v>
      </c>
      <c r="C127" s="0" t="n">
        <f aca="false">$C$3+($G$1/($E$1*86.4))*SINH($E$1*B127*86.4/$G$1)</f>
        <v>44730.5521226912</v>
      </c>
      <c r="D127" s="0" t="n">
        <f aca="false">C127-$C$3-B127</f>
        <v>2.55212269115145</v>
      </c>
      <c r="E127" s="0" t="n">
        <f aca="false">$E$1*B127*86.4</f>
        <v>105100.416</v>
      </c>
      <c r="F127" s="0" t="n">
        <f aca="false">$G$1*G127</f>
        <v>101001.707351499</v>
      </c>
      <c r="G127" s="0" t="n">
        <f aca="false">TANH($E$1*B127*86.4/$G$1)</f>
        <v>0.336672357838329</v>
      </c>
      <c r="H127" s="0" t="n">
        <f aca="false">COSH($E$1*B127*86.4/$G$1)</f>
        <v>1.06199743718951</v>
      </c>
      <c r="I127" s="0" t="n">
        <f aca="false">(($G$1^2*1000)/($E$1*$I$1))*(H127-1)</f>
        <v>0.0601200561714356</v>
      </c>
      <c r="J127" s="0" t="n">
        <f aca="false">$J$3*EXP(-$E$1*B127*86.4/$G$1)</f>
        <v>704.452255992657</v>
      </c>
      <c r="K127" s="0" t="n">
        <f aca="false">J126-J127</f>
        <v>1.99308906137196</v>
      </c>
    </row>
    <row r="128" customFormat="false" ht="12.8" hidden="false" customHeight="false" outlineLevel="0" collapsed="false">
      <c r="A128" s="0" t="n">
        <v>1</v>
      </c>
      <c r="B128" s="0" t="n">
        <f aca="false">B127+A128</f>
        <v>125</v>
      </c>
      <c r="C128" s="0" t="n">
        <f aca="false">$C$3+($G$1/($E$1*86.4))*SINH($E$1*B128*86.4/$G$1)</f>
        <v>44731.6146266242</v>
      </c>
      <c r="D128" s="0" t="n">
        <f aca="false">C128-$C$3-B128</f>
        <v>2.61462662414851</v>
      </c>
      <c r="E128" s="0" t="n">
        <f aca="false">$E$1*B128*86.4</f>
        <v>105948</v>
      </c>
      <c r="F128" s="0" t="n">
        <f aca="false">$G$1*G128</f>
        <v>101752.503016124</v>
      </c>
      <c r="G128" s="0" t="n">
        <f aca="false">TANH($E$1*B128*86.4/$G$1)</f>
        <v>0.339175010053746</v>
      </c>
      <c r="H128" s="0" t="n">
        <f aca="false">COSH($E$1*B128*86.4/$G$1)</f>
        <v>1.06301184232749</v>
      </c>
      <c r="I128" s="0" t="n">
        <f aca="false">(($G$1^2*1000)/($E$1*$I$1))*(H128-1)</f>
        <v>0.061103743508206</v>
      </c>
      <c r="J128" s="0" t="n">
        <f aca="false">$J$3*EXP(-$E$1*B128*86.4/$G$1)</f>
        <v>702.46479001881</v>
      </c>
      <c r="K128" s="0" t="n">
        <f aca="false">J127-J128</f>
        <v>1.98746597384729</v>
      </c>
    </row>
    <row r="129" customFormat="false" ht="12.8" hidden="false" customHeight="false" outlineLevel="0" collapsed="false">
      <c r="A129" s="0" t="n">
        <v>1</v>
      </c>
      <c r="B129" s="0" t="n">
        <f aca="false">B128+A129</f>
        <v>126</v>
      </c>
      <c r="C129" s="0" t="n">
        <f aca="false">$C$3+($G$1/($E$1*86.4))*SINH($E$1*B129*86.4/$G$1)</f>
        <v>44732.6781492042</v>
      </c>
      <c r="D129" s="0" t="n">
        <f aca="false">C129-$C$3-B129</f>
        <v>2.67814920419914</v>
      </c>
      <c r="E129" s="0" t="n">
        <f aca="false">$E$1*B129*86.4</f>
        <v>106795.584</v>
      </c>
      <c r="F129" s="0" t="n">
        <f aca="false">$G$1*G129</f>
        <v>102501.861140645</v>
      </c>
      <c r="G129" s="0" t="n">
        <f aca="false">TANH($E$1*B129*86.4/$G$1)</f>
        <v>0.341672870468816</v>
      </c>
      <c r="H129" s="0" t="n">
        <f aca="false">COSH($E$1*B129*86.4/$G$1)</f>
        <v>1.06403473265176</v>
      </c>
      <c r="I129" s="0" t="n">
        <f aca="false">(($G$1^2*1000)/($E$1*$I$1))*(H129-1)</f>
        <v>0.0620956590863346</v>
      </c>
      <c r="J129" s="0" t="n">
        <f aca="false">$J$3*EXP(-$E$1*B129*86.4/$G$1)</f>
        <v>700.482931268111</v>
      </c>
      <c r="K129" s="0" t="n">
        <f aca="false">J128-J129</f>
        <v>1.98185875069851</v>
      </c>
    </row>
    <row r="130" customFormat="false" ht="12.8" hidden="false" customHeight="false" outlineLevel="0" collapsed="false">
      <c r="A130" s="0" t="n">
        <v>1</v>
      </c>
      <c r="B130" s="0" t="n">
        <f aca="false">B129+A130</f>
        <v>127</v>
      </c>
      <c r="C130" s="0" t="n">
        <f aca="false">$C$3+($G$1/($E$1*86.4))*SINH($E$1*B130*86.4/$G$1)</f>
        <v>44733.7426989206</v>
      </c>
      <c r="D130" s="0" t="n">
        <f aca="false">C130-$C$3-B130</f>
        <v>2.74269892057055</v>
      </c>
      <c r="E130" s="0" t="n">
        <f aca="false">$E$1*B130*86.4</f>
        <v>107643.168</v>
      </c>
      <c r="F130" s="0" t="n">
        <f aca="false">$G$1*G130</f>
        <v>103249.773921174</v>
      </c>
      <c r="G130" s="0" t="n">
        <f aca="false">TANH($E$1*B130*86.4/$G$1)</f>
        <v>0.344165913070581</v>
      </c>
      <c r="H130" s="0" t="n">
        <f aca="false">COSH($E$1*B130*86.4/$G$1)</f>
        <v>1.06506611632725</v>
      </c>
      <c r="I130" s="0" t="n">
        <f aca="false">(($G$1^2*1000)/($E$1*$I$1))*(H130-1)</f>
        <v>0.0630958108235018</v>
      </c>
      <c r="J130" s="0" t="n">
        <f aca="false">$J$3*EXP(-$E$1*B130*86.4/$G$1)</f>
        <v>698.506663920945</v>
      </c>
      <c r="K130" s="0" t="n">
        <f aca="false">J129-J130</f>
        <v>1.97626734716664</v>
      </c>
    </row>
    <row r="131" customFormat="false" ht="12.8" hidden="false" customHeight="false" outlineLevel="0" collapsed="false">
      <c r="A131" s="0" t="n">
        <v>1</v>
      </c>
      <c r="B131" s="0" t="n">
        <f aca="false">B130+A131</f>
        <v>128</v>
      </c>
      <c r="C131" s="0" t="n">
        <f aca="false">$C$3+($G$1/($E$1*86.4))*SINH($E$1*B131*86.4/$G$1)</f>
        <v>44734.8082842707</v>
      </c>
      <c r="D131" s="0" t="n">
        <f aca="false">C131-$C$3-B131</f>
        <v>2.80828427071538</v>
      </c>
      <c r="E131" s="0" t="n">
        <f aca="false">$E$1*B131*86.4</f>
        <v>108490.752</v>
      </c>
      <c r="F131" s="0" t="n">
        <f aca="false">$G$1*G131</f>
        <v>103996.233629958</v>
      </c>
      <c r="G131" s="0" t="n">
        <f aca="false">TANH($E$1*B131*86.4/$G$1)</f>
        <v>0.346654112099861</v>
      </c>
      <c r="H131" s="0" t="n">
        <f aca="false">COSH($E$1*B131*86.4/$G$1)</f>
        <v>1.06610600158669</v>
      </c>
      <c r="I131" s="0" t="n">
        <f aca="false">(($G$1^2*1000)/($E$1*$I$1))*(H131-1)</f>
        <v>0.0641042067031314</v>
      </c>
      <c r="J131" s="0" t="n">
        <f aca="false">$J$3*EXP(-$E$1*B131*86.4/$G$1)</f>
        <v>696.535972202324</v>
      </c>
      <c r="K131" s="0" t="n">
        <f aca="false">J130-J131</f>
        <v>1.97069171862097</v>
      </c>
    </row>
    <row r="132" customFormat="false" ht="12.8" hidden="false" customHeight="false" outlineLevel="0" collapsed="false">
      <c r="A132" s="0" t="n">
        <v>1</v>
      </c>
      <c r="B132" s="0" t="n">
        <f aca="false">B131+A132</f>
        <v>129</v>
      </c>
      <c r="C132" s="0" t="n">
        <f aca="false">$C$3+($G$1/($E$1*86.4))*SINH($E$1*B132*86.4/$G$1)</f>
        <v>44735.8749137604</v>
      </c>
      <c r="D132" s="0" t="n">
        <f aca="false">C132-$C$3-B132</f>
        <v>2.87491376036633</v>
      </c>
      <c r="E132" s="0" t="n">
        <f aca="false">$E$1*B132*86.4</f>
        <v>109338.336</v>
      </c>
      <c r="F132" s="0" t="n">
        <f aca="false">$G$1*G132</f>
        <v>104741.232615546</v>
      </c>
      <c r="G132" s="0" t="n">
        <f aca="false">TANH($E$1*B132*86.4/$G$1)</f>
        <v>0.34913744205182</v>
      </c>
      <c r="H132" s="0" t="n">
        <f aca="false">COSH($E$1*B132*86.4/$G$1)</f>
        <v>1.06715439673067</v>
      </c>
      <c r="I132" s="0" t="n">
        <f aca="false">(($G$1^2*1000)/($E$1*$I$1))*(H132-1)</f>
        <v>0.0651208547744532</v>
      </c>
      <c r="J132" s="0" t="n">
        <f aca="false">$J$3*EXP(-$E$1*B132*86.4/$G$1)</f>
        <v>694.570840381769</v>
      </c>
      <c r="K132" s="0" t="n">
        <f aca="false">J131-J132</f>
        <v>1.9651318205548</v>
      </c>
    </row>
    <row r="133" customFormat="false" ht="12.8" hidden="false" customHeight="false" outlineLevel="0" collapsed="false">
      <c r="A133" s="0" t="n">
        <v>1</v>
      </c>
      <c r="B133" s="0" t="n">
        <f aca="false">B132+A133</f>
        <v>130</v>
      </c>
      <c r="C133" s="0" t="n">
        <f aca="false">$C$3+($G$1/($E$1*86.4))*SINH($E$1*B133*86.4/$G$1)</f>
        <v>44736.9425959036</v>
      </c>
      <c r="D133" s="0" t="n">
        <f aca="false">C133-$C$3-B133</f>
        <v>2.94259590359434</v>
      </c>
      <c r="E133" s="0" t="n">
        <f aca="false">$E$1*B133*86.4</f>
        <v>110185.92</v>
      </c>
      <c r="F133" s="0" t="n">
        <f aca="false">$G$1*G133</f>
        <v>105484.763302949</v>
      </c>
      <c r="G133" s="0" t="n">
        <f aca="false">TANH($E$1*B133*86.4/$G$1)</f>
        <v>0.351615877676496</v>
      </c>
      <c r="H133" s="0" t="n">
        <f aca="false">COSH($E$1*B133*86.4/$G$1)</f>
        <v>1.06821131012769</v>
      </c>
      <c r="I133" s="0" t="n">
        <f aca="false">(($G$1^2*1000)/($E$1*$I$1))*(H133-1)</f>
        <v>0.0661457631525686</v>
      </c>
      <c r="J133" s="0" t="n">
        <f aca="false">$J$3*EXP(-$E$1*B133*86.4/$G$1)</f>
        <v>692.61125277318</v>
      </c>
      <c r="K133" s="0" t="n">
        <f aca="false">J132-J133</f>
        <v>1.95958760858844</v>
      </c>
    </row>
    <row r="134" customFormat="false" ht="12.8" hidden="false" customHeight="false" outlineLevel="0" collapsed="false">
      <c r="A134" s="0" t="n">
        <v>1</v>
      </c>
      <c r="B134" s="0" t="n">
        <f aca="false">B133+A134</f>
        <v>131</v>
      </c>
      <c r="C134" s="0" t="n">
        <f aca="false">$C$3+($G$1/($E$1*86.4))*SINH($E$1*B134*86.4/$G$1)</f>
        <v>44738.0113392229</v>
      </c>
      <c r="D134" s="0" t="n">
        <f aca="false">C134-$C$3-B134</f>
        <v>3.01133922285226</v>
      </c>
      <c r="E134" s="0" t="n">
        <f aca="false">$E$1*B134*86.4</f>
        <v>111033.504</v>
      </c>
      <c r="F134" s="0" t="n">
        <f aca="false">$G$1*G134</f>
        <v>106226.818193797</v>
      </c>
      <c r="G134" s="0" t="n">
        <f aca="false">TANH($E$1*B134*86.4/$G$1)</f>
        <v>0.354089393979322</v>
      </c>
      <c r="H134" s="0" t="n">
        <f aca="false">COSH($E$1*B134*86.4/$G$1)</f>
        <v>1.06927675021426</v>
      </c>
      <c r="I134" s="0" t="n">
        <f aca="false">(($G$1^2*1000)/($E$1*$I$1))*(H134-1)</f>
        <v>0.0671789400185134</v>
      </c>
      <c r="J134" s="0" t="n">
        <f aca="false">$J$3*EXP(-$E$1*B134*86.4/$G$1)</f>
        <v>690.657193734714</v>
      </c>
      <c r="K134" s="0" t="n">
        <f aca="false">J133-J134</f>
        <v>1.95405903846643</v>
      </c>
    </row>
    <row r="135" customFormat="false" ht="12.8" hidden="false" customHeight="false" outlineLevel="0" collapsed="false">
      <c r="A135" s="0" t="n">
        <v>1</v>
      </c>
      <c r="B135" s="0" t="n">
        <f aca="false">B134+A135</f>
        <v>132</v>
      </c>
      <c r="C135" s="0" t="n">
        <f aca="false">$C$3+($G$1/($E$1*86.4))*SINH($E$1*B135*86.4/$G$1)</f>
        <v>44739.0811522491</v>
      </c>
      <c r="D135" s="0" t="n">
        <f aca="false">C135-$C$3-B135</f>
        <v>3.08115224908397</v>
      </c>
      <c r="E135" s="0" t="n">
        <f aca="false">$E$1*B135*86.4</f>
        <v>111881.088</v>
      </c>
      <c r="F135" s="0" t="n">
        <f aca="false">$G$1*G135</f>
        <v>106967.389866481</v>
      </c>
      <c r="G135" s="0" t="n">
        <f aca="false">TANH($E$1*B135*86.4/$G$1)</f>
        <v>0.356557966221604</v>
      </c>
      <c r="H135" s="0" t="n">
        <f aca="false">COSH($E$1*B135*86.4/$G$1)</f>
        <v>1.07035072549495</v>
      </c>
      <c r="I135" s="0" t="n">
        <f aca="false">(($G$1^2*1000)/($E$1*$I$1))*(H135-1)</f>
        <v>0.0682203936193249</v>
      </c>
      <c r="J135" s="0" t="n">
        <f aca="false">$J$3*EXP(-$E$1*B135*86.4/$G$1)</f>
        <v>688.708647668655</v>
      </c>
      <c r="K135" s="0" t="n">
        <f aca="false">J134-J135</f>
        <v>1.94854606605884</v>
      </c>
    </row>
    <row r="136" customFormat="false" ht="12.8" hidden="false" customHeight="false" outlineLevel="0" collapsed="false">
      <c r="A136" s="0" t="n">
        <v>1</v>
      </c>
      <c r="B136" s="0" t="n">
        <f aca="false">B135+A136</f>
        <v>133</v>
      </c>
      <c r="C136" s="0" t="n">
        <f aca="false">$C$3+($G$1/($E$1*86.4))*SINH($E$1*B136*86.4/$G$1)</f>
        <v>44740.1520435218</v>
      </c>
      <c r="D136" s="0" t="n">
        <f aca="false">C136-$C$3-B136</f>
        <v>3.15204352176806</v>
      </c>
      <c r="E136" s="0" t="n">
        <f aca="false">$E$1*B136*86.4</f>
        <v>112728.672</v>
      </c>
      <c r="F136" s="0" t="n">
        <f aca="false">$G$1*G136</f>
        <v>107706.470976296</v>
      </c>
      <c r="G136" s="0" t="n">
        <f aca="false">TANH($E$1*B136*86.4/$G$1)</f>
        <v>0.359021569920987</v>
      </c>
      <c r="H136" s="0" t="n">
        <f aca="false">COSH($E$1*B136*86.4/$G$1)</f>
        <v>1.07143324454247</v>
      </c>
      <c r="I136" s="0" t="n">
        <f aca="false">(($G$1^2*1000)/($E$1*$I$1))*(H136-1)</f>
        <v>0.0692701322681071</v>
      </c>
      <c r="J136" s="0" t="n">
        <f aca="false">$J$3*EXP(-$E$1*B136*86.4/$G$1)</f>
        <v>686.765599021296</v>
      </c>
      <c r="K136" s="0" t="n">
        <f aca="false">J135-J136</f>
        <v>1.94304864735943</v>
      </c>
    </row>
    <row r="137" customFormat="false" ht="12.8" hidden="false" customHeight="false" outlineLevel="0" collapsed="false">
      <c r="A137" s="0" t="n">
        <v>1</v>
      </c>
      <c r="B137" s="0" t="n">
        <f aca="false">B136+A137</f>
        <v>134</v>
      </c>
      <c r="C137" s="0" t="n">
        <f aca="false">$C$3+($G$1/($E$1*86.4))*SINH($E$1*B137*86.4/$G$1)</f>
        <v>44741.224021589</v>
      </c>
      <c r="D137" s="0" t="n">
        <f aca="false">C137-$C$3-B137</f>
        <v>3.22402158897603</v>
      </c>
      <c r="E137" s="0" t="n">
        <f aca="false">$E$1*B137*86.4</f>
        <v>113576.256</v>
      </c>
      <c r="F137" s="0" t="n">
        <f aca="false">$G$1*G137</f>
        <v>108444.054255566</v>
      </c>
      <c r="G137" s="0" t="n">
        <f aca="false">TANH($E$1*B137*86.4/$G$1)</f>
        <v>0.361480180851886</v>
      </c>
      <c r="H137" s="0" t="n">
        <f aca="false">COSH($E$1*B137*86.4/$G$1)</f>
        <v>1.0725243159977</v>
      </c>
      <c r="I137" s="0" t="n">
        <f aca="false">(($G$1^2*1000)/($E$1*$I$1))*(H137-1)</f>
        <v>0.0703281643440967</v>
      </c>
      <c r="J137" s="0" t="n">
        <f aca="false">$J$3*EXP(-$E$1*B137*86.4/$G$1)</f>
        <v>684.828032282808</v>
      </c>
      <c r="K137" s="0" t="n">
        <f aca="false">J136-J137</f>
        <v>1.93756673848736</v>
      </c>
    </row>
    <row r="138" customFormat="false" ht="12.8" hidden="false" customHeight="false" outlineLevel="0" collapsed="false">
      <c r="A138" s="0" t="n">
        <v>1</v>
      </c>
      <c r="B138" s="0" t="n">
        <f aca="false">B137+A138</f>
        <v>135</v>
      </c>
      <c r="C138" s="0" t="n">
        <f aca="false">$C$3+($G$1/($E$1*86.4))*SINH($E$1*B138*86.4/$G$1)</f>
        <v>44742.2970950075</v>
      </c>
      <c r="D138" s="0" t="n">
        <f aca="false">C138-$C$3-B138</f>
        <v>3.29709500746685</v>
      </c>
      <c r="E138" s="0" t="n">
        <f aca="false">$E$1*B138*86.4</f>
        <v>114423.84</v>
      </c>
      <c r="F138" s="0" t="n">
        <f aca="false">$G$1*G138</f>
        <v>109180.132513769</v>
      </c>
      <c r="G138" s="0" t="n">
        <f aca="false">TANH($E$1*B138*86.4/$G$1)</f>
        <v>0.363933775045895</v>
      </c>
      <c r="H138" s="0" t="n">
        <f aca="false">COSH($E$1*B138*86.4/$G$1)</f>
        <v>1.07362394856982</v>
      </c>
      <c r="I138" s="0" t="n">
        <f aca="false">(($G$1^2*1000)/($E$1*$I$1))*(H138-1)</f>
        <v>0.0713944982927304</v>
      </c>
      <c r="J138" s="0" t="n">
        <f aca="false">$J$3*EXP(-$E$1*B138*86.4/$G$1)</f>
        <v>682.895931987124</v>
      </c>
      <c r="K138" s="0" t="n">
        <f aca="false">J137-J138</f>
        <v>1.93210029568445</v>
      </c>
    </row>
    <row r="139" customFormat="false" ht="12.8" hidden="false" customHeight="false" outlineLevel="0" collapsed="false">
      <c r="A139" s="0" t="n">
        <v>1</v>
      </c>
      <c r="B139" s="0" t="n">
        <f aca="false">B138+A139</f>
        <v>136</v>
      </c>
      <c r="C139" s="0" t="n">
        <f aca="false">$C$3+($G$1/($E$1*86.4))*SINH($E$1*B139*86.4/$G$1)</f>
        <v>44743.3712723427</v>
      </c>
      <c r="D139" s="0" t="n">
        <f aca="false">C139-$C$3-B139</f>
        <v>3.37127234274521</v>
      </c>
      <c r="E139" s="0" t="n">
        <f aca="false">$E$1*B139*86.4</f>
        <v>115271.424</v>
      </c>
      <c r="F139" s="0" t="n">
        <f aca="false">$G$1*G139</f>
        <v>109914.698637652</v>
      </c>
      <c r="G139" s="0" t="n">
        <f aca="false">TANH($E$1*B139*86.4/$G$1)</f>
        <v>0.366382328792174</v>
      </c>
      <c r="H139" s="0" t="n">
        <f aca="false">COSH($E$1*B139*86.4/$G$1)</f>
        <v>1.07473215103631</v>
      </c>
      <c r="I139" s="0" t="n">
        <f aca="false">(($G$1^2*1000)/($E$1*$I$1))*(H139-1)</f>
        <v>0.0724691426257125</v>
      </c>
      <c r="J139" s="0" t="n">
        <f aca="false">$J$3*EXP(-$E$1*B139*86.4/$G$1)</f>
        <v>680.969282711808</v>
      </c>
      <c r="K139" s="0" t="n">
        <f aca="false">J138-J139</f>
        <v>1.92664927531632</v>
      </c>
    </row>
    <row r="140" customFormat="false" ht="12.8" hidden="false" customHeight="false" outlineLevel="0" collapsed="false">
      <c r="A140" s="0" t="n">
        <v>1</v>
      </c>
      <c r="B140" s="0" t="n">
        <f aca="false">B139+A140</f>
        <v>137</v>
      </c>
      <c r="C140" s="0" t="n">
        <f aca="false">$C$3+($G$1/($E$1*86.4))*SINH($E$1*B140*86.4/$G$1)</f>
        <v>44744.4465621691</v>
      </c>
      <c r="D140" s="0" t="n">
        <f aca="false">C140-$C$3-B140</f>
        <v>3.44656216911972</v>
      </c>
      <c r="E140" s="0" t="n">
        <f aca="false">$E$1*B140*86.4</f>
        <v>116119.008</v>
      </c>
      <c r="F140" s="0" t="n">
        <f aca="false">$G$1*G140</f>
        <v>110647.74559134</v>
      </c>
      <c r="G140" s="0" t="n">
        <f aca="false">TANH($E$1*B140*86.4/$G$1)</f>
        <v>0.368825818637801</v>
      </c>
      <c r="H140" s="0" t="n">
        <f aca="false">COSH($E$1*B140*86.4/$G$1)</f>
        <v>1.0758489322431</v>
      </c>
      <c r="I140" s="0" t="n">
        <f aca="false">(($G$1^2*1000)/($E$1*$I$1))*(H140-1)</f>
        <v>0.073552105921082</v>
      </c>
      <c r="J140" s="0" t="n">
        <f aca="false">$J$3*EXP(-$E$1*B140*86.4/$G$1)</f>
        <v>679.048069077936</v>
      </c>
      <c r="K140" s="0" t="n">
        <f aca="false">J139-J140</f>
        <v>1.92121363387207</v>
      </c>
    </row>
    <row r="141" customFormat="false" ht="12.8" hidden="false" customHeight="false" outlineLevel="0" collapsed="false">
      <c r="A141" s="0" t="n">
        <v>1</v>
      </c>
      <c r="B141" s="0" t="n">
        <f aca="false">B140+A141</f>
        <v>138</v>
      </c>
      <c r="C141" s="0" t="n">
        <f aca="false">$C$3+($G$1/($E$1*86.4))*SINH($E$1*B141*86.4/$G$1)</f>
        <v>44745.5229730698</v>
      </c>
      <c r="D141" s="0" t="n">
        <f aca="false">C141-$C$3-B141</f>
        <v>3.52297306978289</v>
      </c>
      <c r="E141" s="0" t="n">
        <f aca="false">$E$1*B141*86.4</f>
        <v>116966.592</v>
      </c>
      <c r="F141" s="0" t="n">
        <f aca="false">$G$1*G141</f>
        <v>111379.266416433</v>
      </c>
      <c r="G141" s="0" t="n">
        <f aca="false">TANH($E$1*B141*86.4/$G$1)</f>
        <v>0.37126422138811</v>
      </c>
      <c r="H141" s="0" t="n">
        <f aca="false">COSH($E$1*B141*86.4/$G$1)</f>
        <v>1.07697430110456</v>
      </c>
      <c r="I141" s="0" t="n">
        <f aca="false">(($G$1^2*1000)/($E$1*$I$1))*(H141-1)</f>
        <v>0.0746433968232823</v>
      </c>
      <c r="J141" s="0" t="n">
        <f aca="false">$J$3*EXP(-$E$1*B141*86.4/$G$1)</f>
        <v>677.132275749973</v>
      </c>
      <c r="K141" s="0" t="n">
        <f aca="false">J140-J141</f>
        <v>1.91579332796289</v>
      </c>
    </row>
    <row r="142" customFormat="false" ht="12.8" hidden="false" customHeight="false" outlineLevel="0" collapsed="false">
      <c r="A142" s="0" t="n">
        <v>1</v>
      </c>
      <c r="B142" s="0" t="n">
        <f aca="false">B141+A142</f>
        <v>139</v>
      </c>
      <c r="C142" s="0" t="n">
        <f aca="false">$C$3+($G$1/($E$1*86.4))*SINH($E$1*B142*86.4/$G$1)</f>
        <v>44746.6005136369</v>
      </c>
      <c r="D142" s="0" t="n">
        <f aca="false">C142-$C$3-B142</f>
        <v>3.60051363686944</v>
      </c>
      <c r="E142" s="0" t="n">
        <f aca="false">$E$1*B142*86.4</f>
        <v>117814.176</v>
      </c>
      <c r="F142" s="0" t="n">
        <f aca="false">$G$1*G142</f>
        <v>112109.2542321</v>
      </c>
      <c r="G142" s="0" t="n">
        <f aca="false">TANH($E$1*B142*86.4/$G$1)</f>
        <v>0.373697514106998</v>
      </c>
      <c r="H142" s="0" t="n">
        <f aca="false">COSH($E$1*B142*86.4/$G$1)</f>
        <v>1.07810826660363</v>
      </c>
      <c r="I142" s="0" t="n">
        <f aca="false">(($G$1^2*1000)/($E$1*$I$1))*(H142-1)</f>
        <v>0.0757430240432288</v>
      </c>
      <c r="J142" s="0" t="n">
        <f aca="false">$J$3*EXP(-$E$1*B142*86.4/$G$1)</f>
        <v>675.22188743565</v>
      </c>
      <c r="K142" s="0" t="n">
        <f aca="false">J141-J142</f>
        <v>1.91038831432309</v>
      </c>
    </row>
    <row r="143" customFormat="false" ht="12.8" hidden="false" customHeight="false" outlineLevel="0" collapsed="false">
      <c r="A143" s="0" t="n">
        <v>1</v>
      </c>
      <c r="B143" s="0" t="n">
        <f aca="false">B142+A143</f>
        <v>140</v>
      </c>
      <c r="C143" s="0" t="n">
        <f aca="false">$C$3+($G$1/($E$1*86.4))*SINH($E$1*B143*86.4/$G$1)</f>
        <v>44747.6791924716</v>
      </c>
      <c r="D143" s="0" t="n">
        <f aca="false">C143-$C$3-B143</f>
        <v>3.67919247155078</v>
      </c>
      <c r="E143" s="0" t="n">
        <f aca="false">$E$1*B143*86.4</f>
        <v>118661.76</v>
      </c>
      <c r="F143" s="0" t="n">
        <f aca="false">$G$1*G143</f>
        <v>112837.702235161</v>
      </c>
      <c r="G143" s="0" t="n">
        <f aca="false">TANH($E$1*B143*86.4/$G$1)</f>
        <v>0.376125674117204</v>
      </c>
      <c r="H143" s="0" t="n">
        <f aca="false">COSH($E$1*B143*86.4/$G$1)</f>
        <v>1.07925083779186</v>
      </c>
      <c r="I143" s="0" t="n">
        <f aca="false">(($G$1^2*1000)/($E$1*$I$1))*(H143-1)</f>
        <v>0.0768509963583798</v>
      </c>
      <c r="J143" s="0" t="n">
        <f aca="false">$J$3*EXP(-$E$1*B143*86.4/$G$1)</f>
        <v>673.316888885841</v>
      </c>
      <c r="K143" s="0" t="n">
        <f aca="false">J142-J143</f>
        <v>1.90499854980851</v>
      </c>
    </row>
    <row r="144" customFormat="false" ht="12.8" hidden="false" customHeight="false" outlineLevel="0" collapsed="false">
      <c r="A144" s="0" t="n">
        <v>1</v>
      </c>
      <c r="B144" s="0" t="n">
        <f aca="false">B143+A144</f>
        <v>141</v>
      </c>
      <c r="C144" s="0" t="n">
        <f aca="false">$C$3+($G$1/($E$1*86.4))*SINH($E$1*B144*86.4/$G$1)</f>
        <v>44748.7590181841</v>
      </c>
      <c r="D144" s="0" t="n">
        <f aca="false">C144-$C$3-B144</f>
        <v>3.75901818405691</v>
      </c>
      <c r="E144" s="0" t="n">
        <f aca="false">$E$1*B144*86.4</f>
        <v>119509.344</v>
      </c>
      <c r="F144" s="0" t="n">
        <f aca="false">$G$1*G144</f>
        <v>113564.603700171</v>
      </c>
      <c r="G144" s="0" t="n">
        <f aca="false">TANH($E$1*B144*86.4/$G$1)</f>
        <v>0.378548679000569</v>
      </c>
      <c r="H144" s="0" t="n">
        <f aca="false">COSH($E$1*B144*86.4/$G$1)</f>
        <v>1.0804020237895</v>
      </c>
      <c r="I144" s="0" t="n">
        <f aca="false">(($G$1^2*1000)/($E$1*$I$1))*(H144-1)</f>
        <v>0.0779673226128054</v>
      </c>
      <c r="J144" s="0" t="n">
        <f aca="false">$J$3*EXP(-$E$1*B144*86.4/$G$1)</f>
        <v>671.417264894444</v>
      </c>
      <c r="K144" s="0" t="n">
        <f aca="false">J143-J144</f>
        <v>1.89962399139711</v>
      </c>
    </row>
    <row r="145" customFormat="false" ht="12.8" hidden="false" customHeight="false" outlineLevel="0" collapsed="false">
      <c r="A145" s="0" t="n">
        <v>1</v>
      </c>
      <c r="B145" s="0" t="n">
        <f aca="false">B144+A145</f>
        <v>142</v>
      </c>
      <c r="C145" s="0" t="n">
        <f aca="false">$C$3+($G$1/($E$1*86.4))*SINH($E$1*B145*86.4/$G$1)</f>
        <v>44749.8399993938</v>
      </c>
      <c r="D145" s="0" t="n">
        <f aca="false">C145-$C$3-B145</f>
        <v>3.83999939379282</v>
      </c>
      <c r="E145" s="0" t="n">
        <f aca="false">$E$1*B145*86.4</f>
        <v>120356.928</v>
      </c>
      <c r="F145" s="0" t="n">
        <f aca="false">$G$1*G145</f>
        <v>114289.95197948</v>
      </c>
      <c r="G145" s="0" t="n">
        <f aca="false">TANH($E$1*B145*86.4/$G$1)</f>
        <v>0.380966506598268</v>
      </c>
      <c r="H145" s="0" t="n">
        <f aca="false">COSH($E$1*B145*86.4/$G$1)</f>
        <v>1.08156183378556</v>
      </c>
      <c r="I145" s="0" t="n">
        <f aca="false">(($G$1^2*1000)/($E$1*$I$1))*(H145-1)</f>
        <v>0.0790920117172587</v>
      </c>
      <c r="J145" s="0" t="n">
        <f aca="false">$J$3*EXP(-$E$1*B145*86.4/$G$1)</f>
        <v>669.523000298256</v>
      </c>
      <c r="K145" s="0" t="n">
        <f aca="false">J144-J145</f>
        <v>1.89426459618755</v>
      </c>
    </row>
    <row r="146" customFormat="false" ht="12.8" hidden="false" customHeight="false" outlineLevel="0" collapsed="false">
      <c r="A146" s="0" t="n">
        <v>1</v>
      </c>
      <c r="B146" s="0" t="n">
        <f aca="false">B145+A146</f>
        <v>143</v>
      </c>
      <c r="C146" s="0" t="n">
        <f aca="false">$C$3+($G$1/($E$1*86.4))*SINH($E$1*B146*86.4/$G$1)</f>
        <v>44750.9221447294</v>
      </c>
      <c r="D146" s="0" t="n">
        <f aca="false">C146-$C$3-B146</f>
        <v>3.92214472938213</v>
      </c>
      <c r="E146" s="0" t="n">
        <f aca="false">$E$1*B146*86.4</f>
        <v>121204.512</v>
      </c>
      <c r="F146" s="0" t="n">
        <f aca="false">$G$1*G146</f>
        <v>115013.740503306</v>
      </c>
      <c r="G146" s="0" t="n">
        <f aca="false">TANH($E$1*B146*86.4/$G$1)</f>
        <v>0.38337913501102</v>
      </c>
      <c r="H146" s="0" t="n">
        <f aca="false">COSH($E$1*B146*86.4/$G$1)</f>
        <v>1.08273027703788</v>
      </c>
      <c r="I146" s="0" t="n">
        <f aca="false">(($G$1^2*1000)/($E$1*$I$1))*(H146-1)</f>
        <v>0.0802250726492478</v>
      </c>
      <c r="J146" s="0" t="n">
        <f aca="false">$J$3*EXP(-$E$1*B146*86.4/$G$1)</f>
        <v>667.634079976856</v>
      </c>
      <c r="K146" s="0" t="n">
        <f aca="false">J145-J146</f>
        <v>1.88892032140063</v>
      </c>
    </row>
    <row r="147" customFormat="false" ht="12.8" hidden="false" customHeight="false" outlineLevel="0" collapsed="false">
      <c r="A147" s="0" t="n">
        <v>1</v>
      </c>
      <c r="B147" s="0" t="n">
        <f aca="false">B146+A147</f>
        <v>144</v>
      </c>
      <c r="C147" s="0" t="n">
        <f aca="false">$C$3+($G$1/($E$1*86.4))*SINH($E$1*B147*86.4/$G$1)</f>
        <v>44752.0054628287</v>
      </c>
      <c r="D147" s="0" t="n">
        <f aca="false">C147-$C$3-B147</f>
        <v>4.00546282873256</v>
      </c>
      <c r="E147" s="0" t="n">
        <f aca="false">$E$1*B147*86.4</f>
        <v>122052.096</v>
      </c>
      <c r="F147" s="0" t="n">
        <f aca="false">$G$1*G147</f>
        <v>115735.962779781</v>
      </c>
      <c r="G147" s="0" t="n">
        <f aca="false">TANH($E$1*B147*86.4/$G$1)</f>
        <v>0.385786542599268</v>
      </c>
      <c r="H147" s="0" t="n">
        <f aca="false">COSH($E$1*B147*86.4/$G$1)</f>
        <v>1.08390736287323</v>
      </c>
      <c r="I147" s="0" t="n">
        <f aca="false">(($G$1^2*1000)/($E$1*$I$1))*(H147-1)</f>
        <v>0.0813665144531048</v>
      </c>
      <c r="J147" s="0" t="n">
        <f aca="false">$J$3*EXP(-$E$1*B147*86.4/$G$1)</f>
        <v>665.750488852479</v>
      </c>
      <c r="K147" s="0" t="n">
        <f aca="false">J146-J147</f>
        <v>1.88359112437672</v>
      </c>
    </row>
    <row r="148" customFormat="false" ht="12.8" hidden="false" customHeight="false" outlineLevel="0" collapsed="false">
      <c r="A148" s="0" t="n">
        <v>1</v>
      </c>
      <c r="B148" s="0" t="n">
        <f aca="false">B147+A148</f>
        <v>145</v>
      </c>
      <c r="C148" s="0" t="n">
        <f aca="false">$C$3+($G$1/($E$1*86.4))*SINH($E$1*B148*86.4/$G$1)</f>
        <v>44753.0899623391</v>
      </c>
      <c r="D148" s="0" t="n">
        <f aca="false">C148-$C$3-B148</f>
        <v>4.08996233911603</v>
      </c>
      <c r="E148" s="0" t="n">
        <f aca="false">$E$1*B148*86.4</f>
        <v>122899.68</v>
      </c>
      <c r="F148" s="0" t="n">
        <f aca="false">$G$1*G148</f>
        <v>116456.612395002</v>
      </c>
      <c r="G148" s="0" t="n">
        <f aca="false">TANH($E$1*B148*86.4/$G$1)</f>
        <v>0.388188707983341</v>
      </c>
      <c r="H148" s="0" t="n">
        <f aca="false">COSH($E$1*B148*86.4/$G$1)</f>
        <v>1.08509310068737</v>
      </c>
      <c r="I148" s="0" t="n">
        <f aca="false">(($G$1^2*1000)/($E$1*$I$1))*(H148-1)</f>
        <v>0.0825163462400611</v>
      </c>
      <c r="J148" s="0" t="n">
        <f aca="false">$J$3*EXP(-$E$1*B148*86.4/$G$1)</f>
        <v>663.872211889902</v>
      </c>
      <c r="K148" s="0" t="n">
        <f aca="false">J147-J148</f>
        <v>1.87827696257716</v>
      </c>
    </row>
    <row r="149" customFormat="false" ht="12.8" hidden="false" customHeight="false" outlineLevel="0" collapsed="false">
      <c r="A149" s="0" t="n">
        <v>1</v>
      </c>
      <c r="B149" s="0" t="n">
        <f aca="false">B148+A149</f>
        <v>146</v>
      </c>
      <c r="C149" s="0" t="n">
        <f aca="false">$C$3+($G$1/($E$1*86.4))*SINH($E$1*B149*86.4/$G$1)</f>
        <v>44754.1756519173</v>
      </c>
      <c r="D149" s="0" t="n">
        <f aca="false">C149-$C$3-B149</f>
        <v>4.17565191725589</v>
      </c>
      <c r="E149" s="0" t="n">
        <f aca="false">$E$1*B149*86.4</f>
        <v>123747.264</v>
      </c>
      <c r="F149" s="0" t="n">
        <f aca="false">$G$1*G149</f>
        <v>117175.683013075</v>
      </c>
      <c r="G149" s="0" t="n">
        <f aca="false">TANH($E$1*B149*86.4/$G$1)</f>
        <v>0.390585610043585</v>
      </c>
      <c r="H149" s="0" t="n">
        <f aca="false">COSH($E$1*B149*86.4/$G$1)</f>
        <v>1.08628749994509</v>
      </c>
      <c r="I149" s="0" t="n">
        <f aca="false">(($G$1^2*1000)/($E$1*$I$1))*(H149-1)</f>
        <v>0.0836745771883181</v>
      </c>
      <c r="J149" s="0" t="n">
        <f aca="false">$J$3*EXP(-$E$1*B149*86.4/$G$1)</f>
        <v>661.999234096318</v>
      </c>
      <c r="K149" s="0" t="n">
        <f aca="false">J148-J149</f>
        <v>1.87297779358346</v>
      </c>
    </row>
    <row r="150" customFormat="false" ht="12.8" hidden="false" customHeight="false" outlineLevel="0" collapsed="false">
      <c r="A150" s="0" t="n">
        <v>1</v>
      </c>
      <c r="B150" s="0" t="n">
        <f aca="false">B149+A150</f>
        <v>147</v>
      </c>
      <c r="C150" s="0" t="n">
        <f aca="false">$C$3+($G$1/($E$1*86.4))*SINH($E$1*B150*86.4/$G$1)</f>
        <v>44755.2625402293</v>
      </c>
      <c r="D150" s="0" t="n">
        <f aca="false">C150-$C$3-B150</f>
        <v>4.26254022933426</v>
      </c>
      <c r="E150" s="0" t="n">
        <f aca="false">$E$1*B150*86.4</f>
        <v>124594.848</v>
      </c>
      <c r="F150" s="0" t="n">
        <f aca="false">$G$1*G150</f>
        <v>117893.168376143</v>
      </c>
      <c r="G150" s="0" t="n">
        <f aca="false">TANH($E$1*B150*86.4/$G$1)</f>
        <v>0.392977227920476</v>
      </c>
      <c r="H150" s="0" t="n">
        <f aca="false">COSH($E$1*B150*86.4/$G$1)</f>
        <v>1.08749057018036</v>
      </c>
      <c r="I150" s="0" t="n">
        <f aca="false">(($G$1^2*1000)/($E$1*$I$1))*(H150-1)</f>
        <v>0.0848412165431212</v>
      </c>
      <c r="J150" s="0" t="n">
        <f aca="false">$J$3*EXP(-$E$1*B150*86.4/$G$1)</f>
        <v>660.131540521222</v>
      </c>
      <c r="K150" s="0" t="n">
        <f aca="false">J149-J150</f>
        <v>1.86769357509615</v>
      </c>
    </row>
    <row r="151" customFormat="false" ht="12.8" hidden="false" customHeight="false" outlineLevel="0" collapsed="false">
      <c r="A151" s="0" t="n">
        <v>1</v>
      </c>
      <c r="B151" s="0" t="n">
        <f aca="false">B150+A151</f>
        <v>148</v>
      </c>
      <c r="C151" s="0" t="n">
        <f aca="false">$C$3+($G$1/($E$1*86.4))*SINH($E$1*B151*86.4/$G$1)</f>
        <v>44756.3506359511</v>
      </c>
      <c r="D151" s="0" t="n">
        <f aca="false">C151-$C$3-B151</f>
        <v>4.35063595113752</v>
      </c>
      <c r="E151" s="0" t="n">
        <f aca="false">$E$1*B151*86.4</f>
        <v>125442.432</v>
      </c>
      <c r="F151" s="0" t="n">
        <f aca="false">$G$1*G151</f>
        <v>118609.062304412</v>
      </c>
      <c r="G151" s="0" t="n">
        <f aca="false">TANH($E$1*B151*86.4/$G$1)</f>
        <v>0.395363541014706</v>
      </c>
      <c r="H151" s="0" t="n">
        <f aca="false">COSH($E$1*B151*86.4/$G$1)</f>
        <v>1.08870232099632</v>
      </c>
      <c r="I151" s="0" t="n">
        <f aca="false">(($G$1^2*1000)/($E$1*$I$1))*(H151-1)</f>
        <v>0.0860162736168336</v>
      </c>
      <c r="J151" s="0" t="n">
        <f aca="false">$J$3*EXP(-$E$1*B151*86.4/$G$1)</f>
        <v>658.269116256287</v>
      </c>
      <c r="K151" s="0" t="n">
        <f aca="false">J150-J151</f>
        <v>1.86242426493573</v>
      </c>
    </row>
    <row r="152" customFormat="false" ht="12.8" hidden="false" customHeight="false" outlineLevel="0" collapsed="false">
      <c r="A152" s="0" t="n">
        <v>1</v>
      </c>
      <c r="B152" s="0" t="n">
        <f aca="false">B151+A152</f>
        <v>149</v>
      </c>
      <c r="C152" s="0" t="n">
        <f aca="false">$C$3+($G$1/($E$1*86.4))*SINH($E$1*B152*86.4/$G$1)</f>
        <v>44757.4399477681</v>
      </c>
      <c r="D152" s="0" t="n">
        <f aca="false">C152-$C$3-B152</f>
        <v>4.43994776807813</v>
      </c>
      <c r="E152" s="0" t="n">
        <f aca="false">$E$1*B152*86.4</f>
        <v>126290.016</v>
      </c>
      <c r="F152" s="0" t="n">
        <f aca="false">$G$1*G152</f>
        <v>119323.358696173</v>
      </c>
      <c r="G152" s="0" t="n">
        <f aca="false">TANH($E$1*B152*86.4/$G$1)</f>
        <v>0.397744528987244</v>
      </c>
      <c r="H152" s="0" t="n">
        <f aca="false">COSH($E$1*B152*86.4/$G$1)</f>
        <v>1.08992276206544</v>
      </c>
      <c r="I152" s="0" t="n">
        <f aca="false">(($G$1^2*1000)/($E$1*$I$1))*(H152-1)</f>
        <v>0.0871997577890103</v>
      </c>
      <c r="J152" s="0" t="n">
        <f aca="false">$J$3*EXP(-$E$1*B152*86.4/$G$1)</f>
        <v>656.411946435245</v>
      </c>
      <c r="K152" s="0" t="n">
        <f aca="false">J151-J152</f>
        <v>1.85716982104123</v>
      </c>
    </row>
    <row r="153" customFormat="false" ht="12.8" hidden="false" customHeight="false" outlineLevel="0" collapsed="false">
      <c r="A153" s="0" t="n">
        <v>1</v>
      </c>
      <c r="B153" s="0" t="n">
        <f aca="false">B152+A153</f>
        <v>150</v>
      </c>
      <c r="C153" s="0" t="n">
        <f aca="false">$C$3+($G$1/($E$1*86.4))*SINH($E$1*B153*86.4/$G$1)</f>
        <v>44758.5304843753</v>
      </c>
      <c r="D153" s="0" t="n">
        <f aca="false">C153-$C$3-B153</f>
        <v>4.53048437526741</v>
      </c>
      <c r="E153" s="0" t="n">
        <f aca="false">$E$1*B153*86.4</f>
        <v>127137.6</v>
      </c>
      <c r="F153" s="0" t="n">
        <f aca="false">$G$1*G153</f>
        <v>120036.051527812</v>
      </c>
      <c r="G153" s="0" t="n">
        <f aca="false">TANH($E$1*B153*86.4/$G$1)</f>
        <v>0.400120171759374</v>
      </c>
      <c r="H153" s="0" t="n">
        <f aca="false">COSH($E$1*B153*86.4/$G$1)</f>
        <v>1.09115190312953</v>
      </c>
      <c r="I153" s="0" t="n">
        <f aca="false">(($G$1^2*1000)/($E$1*$I$1))*(H153-1)</f>
        <v>0.0883916785064734</v>
      </c>
      <c r="J153" s="0" t="n">
        <f aca="false">$J$3*EXP(-$E$1*B153*86.4/$G$1)</f>
        <v>654.560016233775</v>
      </c>
      <c r="K153" s="0" t="n">
        <f aca="false">J152-J153</f>
        <v>1.85193020147062</v>
      </c>
    </row>
    <row r="154" customFormat="false" ht="12.8" hidden="false" customHeight="false" outlineLevel="0" collapsed="false">
      <c r="A154" s="0" t="n">
        <v>1</v>
      </c>
      <c r="B154" s="0" t="n">
        <f aca="false">B153+A154</f>
        <v>151</v>
      </c>
      <c r="C154" s="0" t="n">
        <f aca="false">$C$3+($G$1/($E$1*86.4))*SINH($E$1*B154*86.4/$G$1)</f>
        <v>44759.6222544776</v>
      </c>
      <c r="D154" s="0" t="n">
        <f aca="false">C154-$C$3-B154</f>
        <v>4.62225447760284</v>
      </c>
      <c r="E154" s="0" t="n">
        <f aca="false">$E$1*B154*86.4</f>
        <v>127985.184</v>
      </c>
      <c r="F154" s="0" t="n">
        <f aca="false">$G$1*G154</f>
        <v>120747.134853814</v>
      </c>
      <c r="G154" s="0" t="n">
        <f aca="false">TANH($E$1*B154*86.4/$G$1)</f>
        <v>0.402490449512714</v>
      </c>
      <c r="H154" s="0" t="n">
        <f aca="false">COSH($E$1*B154*86.4/$G$1)</f>
        <v>1.09238975399986</v>
      </c>
      <c r="I154" s="0" t="n">
        <f aca="false">(($G$1^2*1000)/($E$1*$I$1))*(H154-1)</f>
        <v>0.0895920452833872</v>
      </c>
      <c r="J154" s="0" t="n">
        <f aca="false">$J$3*EXP(-$E$1*B154*86.4/$G$1)</f>
        <v>652.713310869374</v>
      </c>
      <c r="K154" s="0" t="n">
        <f aca="false">J153-J154</f>
        <v>1.84670536440046</v>
      </c>
    </row>
    <row r="155" customFormat="false" ht="12.8" hidden="false" customHeight="false" outlineLevel="0" collapsed="false">
      <c r="A155" s="0" t="n">
        <v>1</v>
      </c>
      <c r="B155" s="0" t="n">
        <f aca="false">B154+A155</f>
        <v>152</v>
      </c>
      <c r="C155" s="0" t="n">
        <f aca="false">$C$3+($G$1/($E$1*86.4))*SINH($E$1*B155*86.4/$G$1)</f>
        <v>44760.7152667898</v>
      </c>
      <c r="D155" s="0" t="n">
        <f aca="false">C155-$C$3-B155</f>
        <v>4.71526678982627</v>
      </c>
      <c r="E155" s="0" t="n">
        <f aca="false">$E$1*B155*86.4</f>
        <v>128832.768</v>
      </c>
      <c r="F155" s="0" t="n">
        <f aca="false">$G$1*G155</f>
        <v>121456.60280676</v>
      </c>
      <c r="G155" s="0" t="n">
        <f aca="false">TANH($E$1*B155*86.4/$G$1)</f>
        <v>0.404855342689199</v>
      </c>
      <c r="H155" s="0" t="n">
        <f aca="false">COSH($E$1*B155*86.4/$G$1)</f>
        <v>1.09363632455722</v>
      </c>
      <c r="I155" s="0" t="n">
        <f aca="false">(($G$1^2*1000)/($E$1*$I$1))*(H155-1)</f>
        <v>0.0908008677013343</v>
      </c>
      <c r="J155" s="0" t="n">
        <f aca="false">$J$3*EXP(-$E$1*B155*86.4/$G$1)</f>
        <v>650.87181560125</v>
      </c>
      <c r="K155" s="0" t="n">
        <f aca="false">J154-J155</f>
        <v>1.84149526812462</v>
      </c>
    </row>
    <row r="156" customFormat="false" ht="12.8" hidden="false" customHeight="false" outlineLevel="0" collapsed="false">
      <c r="A156" s="0" t="n">
        <v>1</v>
      </c>
      <c r="B156" s="0" t="n">
        <f aca="false">B155+A156</f>
        <v>153</v>
      </c>
      <c r="C156" s="0" t="n">
        <f aca="false">$C$3+($G$1/($E$1*86.4))*SINH($E$1*B156*86.4/$G$1)</f>
        <v>44761.8095300366</v>
      </c>
      <c r="D156" s="0" t="n">
        <f aca="false">C156-$C$3-B156</f>
        <v>4.8095300365967</v>
      </c>
      <c r="E156" s="0" t="n">
        <f aca="false">$E$1*B156*86.4</f>
        <v>129680.352</v>
      </c>
      <c r="F156" s="0" t="n">
        <f aca="false">$G$1*G156</f>
        <v>122164.449597317</v>
      </c>
      <c r="G156" s="0" t="n">
        <f aca="false">TANH($E$1*B156*86.4/$G$1)</f>
        <v>0.407214831991057</v>
      </c>
      <c r="H156" s="0" t="n">
        <f aca="false">COSH($E$1*B156*86.4/$G$1)</f>
        <v>1.09489162475199</v>
      </c>
      <c r="I156" s="0" t="n">
        <f aca="false">(($G$1^2*1000)/($E$1*$I$1))*(H156-1)</f>
        <v>0.092018155409392</v>
      </c>
      <c r="J156" s="0" t="n">
        <f aca="false">$J$3*EXP(-$E$1*B156*86.4/$G$1)</f>
        <v>649.035515730194</v>
      </c>
      <c r="K156" s="0" t="n">
        <f aca="false">J155-J156</f>
        <v>1.83629987105508</v>
      </c>
    </row>
    <row r="157" customFormat="false" ht="12.8" hidden="false" customHeight="false" outlineLevel="0" collapsed="false">
      <c r="A157" s="0" t="n">
        <v>1</v>
      </c>
      <c r="B157" s="0" t="n">
        <f aca="false">B156+A157</f>
        <v>154</v>
      </c>
      <c r="C157" s="0" t="n">
        <f aca="false">$C$3+($G$1/($E$1*86.4))*SINH($E$1*B157*86.4/$G$1)</f>
        <v>44762.9050529526</v>
      </c>
      <c r="D157" s="0" t="n">
        <f aca="false">C157-$C$3-B157</f>
        <v>4.90505295254843</v>
      </c>
      <c r="E157" s="0" t="n">
        <f aca="false">$E$1*B157*86.4</f>
        <v>130527.936</v>
      </c>
      <c r="F157" s="0" t="n">
        <f aca="false">$G$1*G157</f>
        <v>122870.669514225</v>
      </c>
      <c r="G157" s="0" t="n">
        <f aca="false">TANH($E$1*B157*86.4/$G$1)</f>
        <v>0.40956889838075</v>
      </c>
      <c r="H157" s="0" t="n">
        <f aca="false">COSH($E$1*B157*86.4/$G$1)</f>
        <v>1.09615566460426</v>
      </c>
      <c r="I157" s="0" t="n">
        <f aca="false">(($G$1^2*1000)/($E$1*$I$1))*(H157-1)</f>
        <v>0.0932439181242091</v>
      </c>
      <c r="J157" s="0" t="n">
        <f aca="false">$J$3*EXP(-$E$1*B157*86.4/$G$1)</f>
        <v>647.204396598473</v>
      </c>
      <c r="K157" s="0" t="n">
        <f aca="false">J156-J157</f>
        <v>1.83111913172104</v>
      </c>
    </row>
    <row r="158" customFormat="false" ht="12.8" hidden="false" customHeight="false" outlineLevel="0" collapsed="false">
      <c r="A158" s="0" t="n">
        <v>1</v>
      </c>
      <c r="B158" s="0" t="n">
        <f aca="false">B157+A158</f>
        <v>155</v>
      </c>
      <c r="C158" s="0" t="n">
        <f aca="false">$C$3+($G$1/($E$1*86.4))*SINH($E$1*B158*86.4/$G$1)</f>
        <v>44764.0018442824</v>
      </c>
      <c r="D158" s="0" t="n">
        <f aca="false">C158-$C$3-B158</f>
        <v>5.00184428238572</v>
      </c>
      <c r="E158" s="0" t="n">
        <f aca="false">$E$1*B158*86.4</f>
        <v>131375.52</v>
      </c>
      <c r="F158" s="0" t="n">
        <f aca="false">$G$1*G158</f>
        <v>123575.256924268</v>
      </c>
      <c r="G158" s="0" t="n">
        <f aca="false">TANH($E$1*B158*86.4/$G$1)</f>
        <v>0.411917523080894</v>
      </c>
      <c r="H158" s="0" t="n">
        <f aca="false">COSH($E$1*B158*86.4/$G$1)</f>
        <v>1.09742845420385</v>
      </c>
      <c r="I158" s="0" t="n">
        <f aca="false">(($G$1^2*1000)/($E$1*$I$1))*(H158-1)</f>
        <v>0.0944781656300844</v>
      </c>
      <c r="J158" s="0" t="n">
        <f aca="false">$J$3*EXP(-$E$1*B158*86.4/$G$1)</f>
        <v>645.378443589704</v>
      </c>
      <c r="K158" s="0" t="n">
        <f aca="false">J157-J158</f>
        <v>1.82595300876915</v>
      </c>
    </row>
    <row r="159" customFormat="false" ht="12.8" hidden="false" customHeight="false" outlineLevel="0" collapsed="false">
      <c r="A159" s="0" t="n">
        <v>1</v>
      </c>
      <c r="B159" s="0" t="n">
        <f aca="false">B158+A159</f>
        <v>156</v>
      </c>
      <c r="C159" s="0" t="n">
        <f aca="false">$C$3+($G$1/($E$1*86.4))*SINH($E$1*B159*86.4/$G$1)</f>
        <v>44765.0999127809</v>
      </c>
      <c r="D159" s="0" t="n">
        <f aca="false">C159-$C$3-B159</f>
        <v>5.09991278092639</v>
      </c>
      <c r="E159" s="0" t="n">
        <f aca="false">$E$1*B159*86.4</f>
        <v>132223.104</v>
      </c>
      <c r="F159" s="0" t="n">
        <f aca="false">$G$1*G159</f>
        <v>124278.206272249</v>
      </c>
      <c r="G159" s="0" t="n">
        <f aca="false">TANH($E$1*B159*86.4/$G$1)</f>
        <v>0.414260687574163</v>
      </c>
      <c r="H159" s="0" t="n">
        <f aca="false">COSH($E$1*B159*86.4/$G$1)</f>
        <v>1.09871000371044</v>
      </c>
      <c r="I159" s="0" t="n">
        <f aca="false">(($G$1^2*1000)/($E$1*$I$1))*(H159-1)</f>
        <v>0.0957209077790432</v>
      </c>
      <c r="J159" s="0" t="n">
        <f aca="false">$J$3*EXP(-$E$1*B159*86.4/$G$1)</f>
        <v>643.557642128743</v>
      </c>
      <c r="K159" s="0" t="n">
        <f aca="false">J158-J159</f>
        <v>1.82080146096155</v>
      </c>
    </row>
    <row r="160" customFormat="false" ht="12.8" hidden="false" customHeight="false" outlineLevel="0" collapsed="false">
      <c r="A160" s="0" t="n">
        <v>1</v>
      </c>
      <c r="B160" s="0" t="n">
        <f aca="false">B159+A160</f>
        <v>157</v>
      </c>
      <c r="C160" s="0" t="n">
        <f aca="false">$C$3+($G$1/($E$1*86.4))*SINH($E$1*B160*86.4/$G$1)</f>
        <v>44766.1992672132</v>
      </c>
      <c r="D160" s="0" t="n">
        <f aca="false">C160-$C$3-B160</f>
        <v>5.19926721318916</v>
      </c>
      <c r="E160" s="0" t="n">
        <f aca="false">$E$1*B160*86.4</f>
        <v>133070.688</v>
      </c>
      <c r="F160" s="0" t="n">
        <f aca="false">$G$1*G160</f>
        <v>124979.512080947</v>
      </c>
      <c r="G160" s="0" t="n">
        <f aca="false">TANH($E$1*B160*86.4/$G$1)</f>
        <v>0.416598373603157</v>
      </c>
      <c r="H160" s="0" t="n">
        <f aca="false">COSH($E$1*B160*86.4/$G$1)</f>
        <v>1.10000032335364</v>
      </c>
      <c r="I160" s="0" t="n">
        <f aca="false">(($G$1^2*1000)/($E$1*$I$1))*(H160-1)</f>
        <v>0.0969721544909172</v>
      </c>
      <c r="J160" s="0" t="n">
        <f aca="false">$J$3*EXP(-$E$1*B160*86.4/$G$1)</f>
        <v>641.741977681564</v>
      </c>
      <c r="K160" s="0" t="n">
        <f aca="false">J159-J160</f>
        <v>1.81566444717828</v>
      </c>
    </row>
    <row r="161" customFormat="false" ht="12.8" hidden="false" customHeight="false" outlineLevel="0" collapsed="false">
      <c r="A161" s="0" t="n">
        <v>1</v>
      </c>
      <c r="B161" s="0" t="n">
        <f aca="false">B160+A161</f>
        <v>158</v>
      </c>
      <c r="C161" s="0" t="n">
        <f aca="false">$C$3+($G$1/($E$1*86.4))*SINH($E$1*B161*86.4/$G$1)</f>
        <v>44767.2999163544</v>
      </c>
      <c r="D161" s="0" t="n">
        <f aca="false">C161-$C$3-B161</f>
        <v>5.29991635444458</v>
      </c>
      <c r="E161" s="0" t="n">
        <f aca="false">$E$1*B161*86.4</f>
        <v>133918.272</v>
      </c>
      <c r="F161" s="0" t="n">
        <f aca="false">$G$1*G161</f>
        <v>125679.168951079</v>
      </c>
      <c r="G161" s="0" t="n">
        <f aca="false">TANH($E$1*B161*86.4/$G$1)</f>
        <v>0.418930563170263</v>
      </c>
      <c r="H161" s="0" t="n">
        <f aca="false">COSH($E$1*B161*86.4/$G$1)</f>
        <v>1.10129942343304</v>
      </c>
      <c r="I161" s="0" t="n">
        <f aca="false">(($G$1^2*1000)/($E$1*$I$1))*(H161-1)</f>
        <v>0.0982319157534238</v>
      </c>
      <c r="J161" s="0" t="n">
        <f aca="false">$J$3*EXP(-$E$1*B161*86.4/$G$1)</f>
        <v>639.931435755151</v>
      </c>
      <c r="K161" s="0" t="n">
        <f aca="false">J160-J161</f>
        <v>1.81054192641386</v>
      </c>
    </row>
    <row r="162" customFormat="false" ht="12.8" hidden="false" customHeight="false" outlineLevel="0" collapsed="false">
      <c r="A162" s="0" t="n">
        <v>1</v>
      </c>
      <c r="B162" s="0" t="n">
        <f aca="false">B161+A162</f>
        <v>159</v>
      </c>
      <c r="C162" s="0" t="n">
        <f aca="false">$C$3+($G$1/($E$1*86.4))*SINH($E$1*B162*86.4/$G$1)</f>
        <v>44768.4018689903</v>
      </c>
      <c r="D162" s="0" t="n">
        <f aca="false">C162-$C$3-B162</f>
        <v>5.40186899031687</v>
      </c>
      <c r="E162" s="0" t="n">
        <f aca="false">$E$1*B162*86.4</f>
        <v>134765.856</v>
      </c>
      <c r="F162" s="0" t="n">
        <f aca="false">$G$1*G162</f>
        <v>126377.171561244</v>
      </c>
      <c r="G162" s="0" t="n">
        <f aca="false">TANH($E$1*B162*86.4/$G$1)</f>
        <v>0.42125723853748</v>
      </c>
      <c r="H162" s="0" t="n">
        <f aca="false">COSH($E$1*B162*86.4/$G$1)</f>
        <v>1.10260731431834</v>
      </c>
      <c r="I162" s="0" t="n">
        <f aca="false">(($G$1^2*1000)/($E$1*$I$1))*(H162-1)</f>
        <v>0.0995002016222446</v>
      </c>
      <c r="J162" s="0" t="n">
        <f aca="false">$J$3*EXP(-$E$1*B162*86.4/$G$1)</f>
        <v>638.12600189737</v>
      </c>
      <c r="K162" s="0" t="n">
        <f aca="false">J161-J162</f>
        <v>1.80543385778014</v>
      </c>
    </row>
    <row r="163" customFormat="false" ht="12.8" hidden="false" customHeight="false" outlineLevel="0" collapsed="false">
      <c r="A163" s="0" t="n">
        <v>1</v>
      </c>
      <c r="B163" s="0" t="n">
        <f aca="false">B162+A163</f>
        <v>160</v>
      </c>
      <c r="C163" s="0" t="n">
        <f aca="false">$C$3+($G$1/($E$1*86.4))*SINH($E$1*B163*86.4/$G$1)</f>
        <v>44769.5051339168</v>
      </c>
      <c r="D163" s="0" t="n">
        <f aca="false">C163-$C$3-B163</f>
        <v>5.50513391682762</v>
      </c>
      <c r="E163" s="0" t="n">
        <f aca="false">$E$1*B163*86.4</f>
        <v>135613.44</v>
      </c>
      <c r="F163" s="0" t="n">
        <f aca="false">$G$1*G163</f>
        <v>127073.51466787</v>
      </c>
      <c r="G163" s="0" t="n">
        <f aca="false">TANH($E$1*B163*86.4/$G$1)</f>
        <v>0.423578382226233</v>
      </c>
      <c r="H163" s="0" t="n">
        <f aca="false">COSH($E$1*B163*86.4/$G$1)</f>
        <v>1.10392400644941</v>
      </c>
      <c r="I163" s="0" t="n">
        <f aca="false">(($G$1^2*1000)/($E$1*$I$1))*(H163-1)</f>
        <v>0.100777022221107</v>
      </c>
      <c r="J163" s="0" t="n">
        <f aca="false">$J$3*EXP(-$E$1*B163*86.4/$G$1)</f>
        <v>636.325661696868</v>
      </c>
      <c r="K163" s="0" t="n">
        <f aca="false">J162-J163</f>
        <v>1.80034020050255</v>
      </c>
    </row>
    <row r="164" customFormat="false" ht="12.8" hidden="false" customHeight="false" outlineLevel="0" collapsed="false">
      <c r="A164" s="0" t="n">
        <v>1</v>
      </c>
      <c r="B164" s="0" t="n">
        <f aca="false">B163+A164</f>
        <v>161</v>
      </c>
      <c r="C164" s="0" t="n">
        <f aca="false">$C$3+($G$1/($E$1*86.4))*SINH($E$1*B164*86.4/$G$1)</f>
        <v>44770.6097199405</v>
      </c>
      <c r="D164" s="0" t="n">
        <f aca="false">C164-$C$3-B164</f>
        <v>5.60971994046849</v>
      </c>
      <c r="E164" s="0" t="n">
        <f aca="false">$E$1*B164*86.4</f>
        <v>136461.024</v>
      </c>
      <c r="F164" s="0" t="n">
        <f aca="false">$G$1*G164</f>
        <v>127768.193105146</v>
      </c>
      <c r="G164" s="0" t="n">
        <f aca="false">TANH($E$1*B164*86.4/$G$1)</f>
        <v>0.425893977017153</v>
      </c>
      <c r="H164" s="0" t="n">
        <f aca="false">COSH($E$1*B164*86.4/$G$1)</f>
        <v>1.10524951033636</v>
      </c>
      <c r="I164" s="0" t="n">
        <f aca="false">(($G$1^2*1000)/($E$1*$I$1))*(H164-1)</f>
        <v>0.102062387741864</v>
      </c>
      <c r="J164" s="0" t="n">
        <f aca="false">$J$3*EXP(-$E$1*B164*86.4/$G$1)</f>
        <v>634.530400782945</v>
      </c>
      <c r="K164" s="0" t="n">
        <f aca="false">J163-J164</f>
        <v>1.7952609139229</v>
      </c>
    </row>
    <row r="165" customFormat="false" ht="12.8" hidden="false" customHeight="false" outlineLevel="0" collapsed="false">
      <c r="A165" s="0" t="n">
        <v>1</v>
      </c>
      <c r="B165" s="0" t="n">
        <f aca="false">B164+A165</f>
        <v>162</v>
      </c>
      <c r="C165" s="0" t="n">
        <f aca="false">$C$3+($G$1/($E$1*86.4))*SINH($E$1*B165*86.4/$G$1)</f>
        <v>44771.7156358783</v>
      </c>
      <c r="D165" s="0" t="n">
        <f aca="false">C165-$C$3-B165</f>
        <v>5.71563587828132</v>
      </c>
      <c r="E165" s="0" t="n">
        <f aca="false">$E$1*B165*86.4</f>
        <v>137308.608</v>
      </c>
      <c r="F165" s="0" t="n">
        <f aca="false">$G$1*G165</f>
        <v>128461.201784955</v>
      </c>
      <c r="G165" s="0" t="n">
        <f aca="false">TANH($E$1*B165*86.4/$G$1)</f>
        <v>0.428204005949849</v>
      </c>
      <c r="H165" s="0" t="n">
        <f aca="false">COSH($E$1*B165*86.4/$G$1)</f>
        <v>1.10658383655964</v>
      </c>
      <c r="I165" s="0" t="n">
        <f aca="false">(($G$1^2*1000)/($E$1*$I$1))*(H165-1)</f>
        <v>0.103356308444577</v>
      </c>
      <c r="J165" s="0" t="n">
        <f aca="false">$J$3*EXP(-$E$1*B165*86.4/$G$1)</f>
        <v>632.740204825448</v>
      </c>
      <c r="K165" s="0" t="n">
        <f aca="false">J164-J165</f>
        <v>1.79019595749719</v>
      </c>
    </row>
    <row r="166" customFormat="false" ht="12.8" hidden="false" customHeight="false" outlineLevel="0" collapsed="false">
      <c r="A166" s="0" t="n">
        <v>1</v>
      </c>
      <c r="B166" s="0" t="n">
        <f aca="false">B165+A166</f>
        <v>163</v>
      </c>
      <c r="C166" s="0" t="n">
        <f aca="false">$C$3+($G$1/($E$1*86.4))*SINH($E$1*B166*86.4/$G$1)</f>
        <v>44772.8228905579</v>
      </c>
      <c r="D166" s="0" t="n">
        <f aca="false">C166-$C$3-B166</f>
        <v>5.82289055791625</v>
      </c>
      <c r="E166" s="0" t="n">
        <f aca="false">$E$1*B166*86.4</f>
        <v>138156.192</v>
      </c>
      <c r="F166" s="0" t="n">
        <f aca="false">$G$1*G166</f>
        <v>129152.535696793</v>
      </c>
      <c r="G166" s="0" t="n">
        <f aca="false">TANH($E$1*B166*86.4/$G$1)</f>
        <v>0.430508452322645</v>
      </c>
      <c r="H166" s="0" t="n">
        <f aca="false">COSH($E$1*B166*86.4/$G$1)</f>
        <v>1.10792699577013</v>
      </c>
      <c r="I166" s="0" t="n">
        <f aca="false">(($G$1^2*1000)/($E$1*$I$1))*(H166-1)</f>
        <v>0.104658794657595</v>
      </c>
      <c r="J166" s="0" t="n">
        <f aca="false">$J$3*EXP(-$E$1*B166*86.4/$G$1)</f>
        <v>630.955059534652</v>
      </c>
      <c r="K166" s="0" t="n">
        <f aca="false">J165-J166</f>
        <v>1.78514529079587</v>
      </c>
    </row>
    <row r="167" customFormat="false" ht="12.8" hidden="false" customHeight="false" outlineLevel="0" collapsed="false">
      <c r="A167" s="0" t="n">
        <v>1</v>
      </c>
      <c r="B167" s="0" t="n">
        <f aca="false">B166+A167</f>
        <v>164</v>
      </c>
      <c r="C167" s="0" t="n">
        <f aca="false">$C$3+($G$1/($E$1*86.4))*SINH($E$1*B167*86.4/$G$1)</f>
        <v>44773.9314928177</v>
      </c>
      <c r="D167" s="0" t="n">
        <f aca="false">C167-$C$3-B167</f>
        <v>5.93149281772639</v>
      </c>
      <c r="E167" s="0" t="n">
        <f aca="false">$E$1*B167*86.4</f>
        <v>139003.776</v>
      </c>
      <c r="F167" s="0" t="n">
        <f aca="false">$G$1*G167</f>
        <v>129842.189907691</v>
      </c>
      <c r="G167" s="0" t="n">
        <f aca="false">TANH($E$1*B167*86.4/$G$1)</f>
        <v>0.432807299692303</v>
      </c>
      <c r="H167" s="0" t="n">
        <f aca="false">COSH($E$1*B167*86.4/$G$1)</f>
        <v>1.10927899868921</v>
      </c>
      <c r="I167" s="0" t="n">
        <f aca="false">(($G$1^2*1000)/($E$1*$I$1))*(H167-1)</f>
        <v>0.105969856777639</v>
      </c>
      <c r="J167" s="0" t="n">
        <f aca="false">$J$3*EXP(-$E$1*B167*86.4/$G$1)</f>
        <v>629.174950661149</v>
      </c>
      <c r="K167" s="0" t="n">
        <f aca="false">J166-J167</f>
        <v>1.78010887350331</v>
      </c>
    </row>
    <row r="168" customFormat="false" ht="12.8" hidden="false" customHeight="false" outlineLevel="0" collapsed="false">
      <c r="A168" s="0" t="n">
        <v>1</v>
      </c>
      <c r="B168" s="0" t="n">
        <f aca="false">B167+A168</f>
        <v>165</v>
      </c>
      <c r="C168" s="0" t="n">
        <f aca="false">$C$3+($G$1/($E$1*86.4))*SINH($E$1*B168*86.4/$G$1)</f>
        <v>44775.0414515068</v>
      </c>
      <c r="D168" s="0" t="n">
        <f aca="false">C168-$C$3-B168</f>
        <v>6.04145150679688</v>
      </c>
      <c r="E168" s="0" t="n">
        <f aca="false">$E$1*B168*86.4</f>
        <v>139851.36</v>
      </c>
      <c r="F168" s="0" t="n">
        <f aca="false">$G$1*G168</f>
        <v>130530.159562118</v>
      </c>
      <c r="G168" s="0" t="n">
        <f aca="false">TANH($E$1*B168*86.4/$G$1)</f>
        <v>0.435100531873727</v>
      </c>
      <c r="H168" s="0" t="n">
        <f aca="false">COSH($E$1*B168*86.4/$G$1)</f>
        <v>1.11063985610885</v>
      </c>
      <c r="I168" s="0" t="n">
        <f aca="false">(($G$1^2*1000)/($E$1*$I$1))*(H168-1)</f>
        <v>0.107289505269887</v>
      </c>
      <c r="J168" s="0" t="n">
        <f aca="false">$J$3*EXP(-$E$1*B168*86.4/$G$1)</f>
        <v>627.399863995731</v>
      </c>
      <c r="K168" s="0" t="n">
        <f aca="false">J167-J168</f>
        <v>1.77508666541803</v>
      </c>
    </row>
    <row r="169" customFormat="false" ht="12.8" hidden="false" customHeight="false" outlineLevel="0" collapsed="false">
      <c r="A169" s="0" t="n">
        <v>1</v>
      </c>
      <c r="B169" s="0" t="n">
        <f aca="false">B168+A169</f>
        <v>166</v>
      </c>
      <c r="C169" s="0" t="n">
        <f aca="false">$C$3+($G$1/($E$1*86.4))*SINH($E$1*B169*86.4/$G$1)</f>
        <v>44776.1527754851</v>
      </c>
      <c r="D169" s="0" t="n">
        <f aca="false">C169-$C$3-B169</f>
        <v>6.15277548506128</v>
      </c>
      <c r="E169" s="0" t="n">
        <f aca="false">$E$1*B169*86.4</f>
        <v>140698.944</v>
      </c>
      <c r="F169" s="0" t="n">
        <f aca="false">$G$1*G169</f>
        <v>131216.43988189</v>
      </c>
      <c r="G169" s="0" t="n">
        <f aca="false">TANH($E$1*B169*86.4/$G$1)</f>
        <v>0.437388132939633</v>
      </c>
      <c r="H169" s="0" t="n">
        <f aca="false">COSH($E$1*B169*86.4/$G$1)</f>
        <v>1.11200957889171</v>
      </c>
      <c r="I169" s="0" t="n">
        <f aca="false">(($G$1^2*1000)/($E$1*$I$1))*(H169-1)</f>
        <v>0.108617750668052</v>
      </c>
      <c r="J169" s="0" t="n">
        <f aca="false">$J$3*EXP(-$E$1*B169*86.4/$G$1)</f>
        <v>625.629785369279</v>
      </c>
      <c r="K169" s="0" t="n">
        <f aca="false">J168-J169</f>
        <v>1.77007862645132</v>
      </c>
    </row>
    <row r="170" customFormat="false" ht="12.8" hidden="false" customHeight="false" outlineLevel="0" collapsed="false">
      <c r="A170" s="0" t="n">
        <v>1</v>
      </c>
      <c r="B170" s="0" t="n">
        <f aca="false">B169+A170</f>
        <v>167</v>
      </c>
      <c r="C170" s="0" t="n">
        <f aca="false">$C$3+($G$1/($E$1*86.4))*SINH($E$1*B170*86.4/$G$1)</f>
        <v>44777.2654736233</v>
      </c>
      <c r="D170" s="0" t="n">
        <f aca="false">C170-$C$3-B170</f>
        <v>6.26547362334532</v>
      </c>
      <c r="E170" s="0" t="n">
        <f aca="false">$E$1*B170*86.4</f>
        <v>141546.528</v>
      </c>
      <c r="F170" s="0" t="n">
        <f aca="false">$G$1*G170</f>
        <v>131901.026166065</v>
      </c>
      <c r="G170" s="0" t="n">
        <f aca="false">TANH($E$1*B170*86.4/$G$1)</f>
        <v>0.439670087220217</v>
      </c>
      <c r="H170" s="0" t="n">
        <f aca="false">COSH($E$1*B170*86.4/$G$1)</f>
        <v>1.11338817797121</v>
      </c>
      <c r="I170" s="0" t="n">
        <f aca="false">(($G$1^2*1000)/($E$1*$I$1))*(H170-1)</f>
        <v>0.109954603574472</v>
      </c>
      <c r="J170" s="0" t="n">
        <f aca="false">$J$3*EXP(-$E$1*B170*86.4/$G$1)</f>
        <v>623.864700652651</v>
      </c>
      <c r="K170" s="0" t="n">
        <f aca="false">J169-J170</f>
        <v>1.76508471662817</v>
      </c>
    </row>
    <row r="171" customFormat="false" ht="12.8" hidden="false" customHeight="false" outlineLevel="0" collapsed="false">
      <c r="A171" s="0" t="n">
        <v>1</v>
      </c>
      <c r="B171" s="0" t="n">
        <f aca="false">B170+A171</f>
        <v>168</v>
      </c>
      <c r="C171" s="0" t="n">
        <f aca="false">$C$3+($G$1/($E$1*86.4))*SINH($E$1*B171*86.4/$G$1)</f>
        <v>44778.3795548034</v>
      </c>
      <c r="D171" s="0" t="n">
        <f aca="false">C171-$C$3-B171</f>
        <v>6.37955480343953</v>
      </c>
      <c r="E171" s="0" t="n">
        <f aca="false">$E$1*B171*86.4</f>
        <v>142394.112</v>
      </c>
      <c r="F171" s="0" t="n">
        <f aca="false">$G$1*G171</f>
        <v>132583.913790835</v>
      </c>
      <c r="G171" s="0" t="n">
        <f aca="false">TANH($E$1*B171*86.4/$G$1)</f>
        <v>0.441946379302784</v>
      </c>
      <c r="H171" s="0" t="n">
        <f aca="false">COSH($E$1*B171*86.4/$G$1)</f>
        <v>1.11477566435162</v>
      </c>
      <c r="I171" s="0" t="n">
        <f aca="false">(($G$1^2*1000)/($E$1*$I$1))*(H171-1)</f>
        <v>0.11130007466019</v>
      </c>
      <c r="J171" s="0" t="n">
        <f aca="false">$J$3*EXP(-$E$1*B171*86.4/$G$1)</f>
        <v>622.104595756565</v>
      </c>
      <c r="K171" s="0" t="n">
        <f aca="false">J170-J171</f>
        <v>1.7601048960862</v>
      </c>
    </row>
    <row r="172" customFormat="false" ht="12.8" hidden="false" customHeight="false" outlineLevel="0" collapsed="false">
      <c r="A172" s="0" t="n">
        <v>1</v>
      </c>
      <c r="B172" s="0" t="n">
        <f aca="false">B171+A172</f>
        <v>169</v>
      </c>
      <c r="C172" s="0" t="n">
        <f aca="false">$C$3+($G$1/($E$1*86.4))*SINH($E$1*B172*86.4/$G$1)</f>
        <v>44779.4950279182</v>
      </c>
      <c r="D172" s="0" t="n">
        <f aca="false">C172-$C$3-B172</f>
        <v>6.49502791817213</v>
      </c>
      <c r="E172" s="0" t="n">
        <f aca="false">$E$1*B172*86.4</f>
        <v>143241.696</v>
      </c>
      <c r="F172" s="0" t="n">
        <f aca="false">$G$1*G172</f>
        <v>133265.098209411</v>
      </c>
      <c r="G172" s="0" t="n">
        <f aca="false">TANH($E$1*B172*86.4/$G$1)</f>
        <v>0.444216994031369</v>
      </c>
      <c r="H172" s="0" t="n">
        <f aca="false">COSH($E$1*B172*86.4/$G$1)</f>
        <v>1.11617204910814</v>
      </c>
      <c r="I172" s="0" t="n">
        <f aca="false">(($G$1^2*1000)/($E$1*$I$1))*(H172-1)</f>
        <v>0.112654174665042</v>
      </c>
      <c r="J172" s="0" t="n">
        <f aca="false">$J$3*EXP(-$E$1*B172*86.4/$G$1)</f>
        <v>620.34945663149</v>
      </c>
      <c r="K172" s="0" t="n">
        <f aca="false">J171-J172</f>
        <v>1.75513912507517</v>
      </c>
    </row>
    <row r="173" customFormat="false" ht="12.8" hidden="false" customHeight="false" outlineLevel="0" collapsed="false">
      <c r="A173" s="0" t="n">
        <v>1</v>
      </c>
      <c r="B173" s="0" t="n">
        <f aca="false">B172+A173</f>
        <v>170</v>
      </c>
      <c r="C173" s="0" t="n">
        <f aca="false">$C$3+($G$1/($E$1*86.4))*SINH($E$1*B173*86.4/$G$1)</f>
        <v>44780.6119018715</v>
      </c>
      <c r="D173" s="0" t="n">
        <f aca="false">C173-$C$3-B173</f>
        <v>6.61190187149623</v>
      </c>
      <c r="E173" s="0" t="n">
        <f aca="false">$E$1*B173*86.4</f>
        <v>144089.28</v>
      </c>
      <c r="F173" s="0" t="n">
        <f aca="false">$G$1*G173</f>
        <v>133944.574951899</v>
      </c>
      <c r="G173" s="0" t="n">
        <f aca="false">TANH($E$1*B173*86.4/$G$1)</f>
        <v>0.44648191650633</v>
      </c>
      <c r="H173" s="0" t="n">
        <f aca="false">COSH($E$1*B173*86.4/$G$1)</f>
        <v>1.11757734338702</v>
      </c>
      <c r="I173" s="0" t="n">
        <f aca="false">(($G$1^2*1000)/($E$1*$I$1))*(H173-1)</f>
        <v>0.114016914397742</v>
      </c>
      <c r="J173" s="0" t="n">
        <f aca="false">$J$3*EXP(-$E$1*B173*86.4/$G$1)</f>
        <v>618.599269267532</v>
      </c>
      <c r="K173" s="0" t="n">
        <f aca="false">J172-J173</f>
        <v>1.75018736395782</v>
      </c>
    </row>
    <row r="174" customFormat="false" ht="12.8" hidden="false" customHeight="false" outlineLevel="0" collapsed="false">
      <c r="A174" s="0" t="n">
        <v>1</v>
      </c>
      <c r="B174" s="0" t="n">
        <f aca="false">B173+A174</f>
        <v>171</v>
      </c>
      <c r="C174" s="0" t="n">
        <f aca="false">$C$3+($G$1/($E$1*86.4))*SINH($E$1*B174*86.4/$G$1)</f>
        <v>44781.7301855785</v>
      </c>
      <c r="D174" s="0" t="n">
        <f aca="false">C174-$C$3-B174</f>
        <v>6.73018557852629</v>
      </c>
      <c r="E174" s="0" t="n">
        <f aca="false">$E$1*B174*86.4</f>
        <v>144936.864</v>
      </c>
      <c r="F174" s="0" t="n">
        <f aca="false">$G$1*G174</f>
        <v>134622.339625178</v>
      </c>
      <c r="G174" s="0" t="n">
        <f aca="false">TANH($E$1*B174*86.4/$G$1)</f>
        <v>0.448741132083926</v>
      </c>
      <c r="H174" s="0" t="n">
        <f aca="false">COSH($E$1*B174*86.4/$G$1)</f>
        <v>1.11899155840562</v>
      </c>
      <c r="I174" s="0" t="n">
        <f aca="false">(($G$1^2*1000)/($E$1*$I$1))*(H174-1)</f>
        <v>0.115388304735969</v>
      </c>
      <c r="J174" s="0" t="n">
        <f aca="false">$J$3*EXP(-$E$1*B174*86.4/$G$1)</f>
        <v>616.854019694325</v>
      </c>
      <c r="K174" s="0" t="n">
        <f aca="false">J173-J174</f>
        <v>1.74524957320716</v>
      </c>
    </row>
    <row r="175" customFormat="false" ht="12.8" hidden="false" customHeight="false" outlineLevel="0" collapsed="false">
      <c r="A175" s="0" t="n">
        <v>1</v>
      </c>
      <c r="B175" s="0" t="n">
        <f aca="false">B174+A175</f>
        <v>172</v>
      </c>
      <c r="C175" s="0" t="n">
        <f aca="false">$C$3+($G$1/($E$1*86.4))*SINH($E$1*B175*86.4/$G$1)</f>
        <v>44782.8498879657</v>
      </c>
      <c r="D175" s="0" t="n">
        <f aca="false">C175-$C$3-B175</f>
        <v>6.84988796564721</v>
      </c>
      <c r="E175" s="0" t="n">
        <f aca="false">$E$1*B175*86.4</f>
        <v>145784.448</v>
      </c>
      <c r="F175" s="0" t="n">
        <f aca="false">$G$1*G175</f>
        <v>135298.387912761</v>
      </c>
      <c r="G175" s="0" t="n">
        <f aca="false">TANH($E$1*B175*86.4/$G$1)</f>
        <v>0.450994626375872</v>
      </c>
      <c r="H175" s="0" t="n">
        <f aca="false">COSH($E$1*B175*86.4/$G$1)</f>
        <v>1.1204147054525</v>
      </c>
      <c r="I175" s="0" t="n">
        <f aca="false">(($G$1^2*1000)/($E$1*$I$1))*(H175-1)</f>
        <v>0.11676835662645</v>
      </c>
      <c r="J175" s="0" t="n">
        <f aca="false">$J$3*EXP(-$E$1*B175*86.4/$G$1)</f>
        <v>615.113693980915</v>
      </c>
      <c r="K175" s="0" t="n">
        <f aca="false">J174-J175</f>
        <v>1.74032571340979</v>
      </c>
    </row>
    <row r="176" customFormat="false" ht="12.8" hidden="false" customHeight="false" outlineLevel="0" collapsed="false">
      <c r="A176" s="0" t="n">
        <v>1</v>
      </c>
      <c r="B176" s="0" t="n">
        <f aca="false">B175+A176</f>
        <v>173</v>
      </c>
      <c r="C176" s="0" t="n">
        <f aca="false">$C$3+($G$1/($E$1*86.4))*SINH($E$1*B176*86.4/$G$1)</f>
        <v>44783.9710179706</v>
      </c>
      <c r="D176" s="0" t="n">
        <f aca="false">C176-$C$3-B176</f>
        <v>6.97101797055802</v>
      </c>
      <c r="E176" s="0" t="n">
        <f aca="false">$E$1*B176*86.4</f>
        <v>146632.032</v>
      </c>
      <c r="F176" s="0" t="n">
        <f aca="false">$G$1*G176</f>
        <v>135972.715574661</v>
      </c>
      <c r="G176" s="0" t="n">
        <f aca="false">TANH($E$1*B176*86.4/$G$1)</f>
        <v>0.453242385248871</v>
      </c>
      <c r="H176" s="0" t="n">
        <f aca="false">COSH($E$1*B176*86.4/$G$1)</f>
        <v>1.12184679588751</v>
      </c>
      <c r="I176" s="0" t="n">
        <f aca="false">(($G$1^2*1000)/($E$1*$I$1))*(H176-1)</f>
        <v>0.118157081085054</v>
      </c>
      <c r="J176" s="0" t="n">
        <f aca="false">$J$3*EXP(-$E$1*B176*86.4/$G$1)</f>
        <v>613.378278235654</v>
      </c>
      <c r="K176" s="0" t="n">
        <f aca="false">J175-J176</f>
        <v>1.73541574526132</v>
      </c>
    </row>
    <row r="177" customFormat="false" ht="12.8" hidden="false" customHeight="false" outlineLevel="0" collapsed="false">
      <c r="A177" s="0" t="n">
        <v>1</v>
      </c>
      <c r="B177" s="0" t="n">
        <f aca="false">B176+A177</f>
        <v>174</v>
      </c>
      <c r="C177" s="0" t="n">
        <f aca="false">$C$3+($G$1/($E$1*86.4))*SINH($E$1*B177*86.4/$G$1)</f>
        <v>44785.0935845424</v>
      </c>
      <c r="D177" s="0" t="n">
        <f aca="false">C177-$C$3-B177</f>
        <v>7.09358454235917</v>
      </c>
      <c r="E177" s="0" t="n">
        <f aca="false">$E$1*B177*86.4</f>
        <v>147479.616</v>
      </c>
      <c r="F177" s="0" t="n">
        <f aca="false">$G$1*G177</f>
        <v>136645.318447241</v>
      </c>
      <c r="G177" s="0" t="n">
        <f aca="false">TANH($E$1*B177*86.4/$G$1)</f>
        <v>0.455484394824136</v>
      </c>
      <c r="H177" s="0" t="n">
        <f aca="false">COSH($E$1*B177*86.4/$G$1)</f>
        <v>1.12328784114192</v>
      </c>
      <c r="I177" s="0" t="n">
        <f aca="false">(($G$1^2*1000)/($E$1*$I$1))*(H177-1)</f>
        <v>0.119554489196874</v>
      </c>
      <c r="J177" s="0" t="n">
        <f aca="false">$J$3*EXP(-$E$1*B177*86.4/$G$1)</f>
        <v>611.647758606083</v>
      </c>
      <c r="K177" s="0" t="n">
        <f aca="false">J176-J177</f>
        <v>1.73051962957049</v>
      </c>
    </row>
    <row r="178" customFormat="false" ht="12.8" hidden="false" customHeight="false" outlineLevel="0" collapsed="false">
      <c r="A178" s="0" t="n">
        <v>1</v>
      </c>
      <c r="B178" s="0" t="n">
        <f aca="false">B177+A178</f>
        <v>175</v>
      </c>
      <c r="C178" s="0" t="n">
        <f aca="false">$C$3+($G$1/($E$1*86.4))*SINH($E$1*B178*86.4/$G$1)</f>
        <v>44786.2175966416</v>
      </c>
      <c r="D178" s="0" t="n">
        <f aca="false">C178-$C$3-B178</f>
        <v>7.217596641618</v>
      </c>
      <c r="E178" s="0" t="n">
        <f aca="false">$E$1*B178*86.4</f>
        <v>148327.2</v>
      </c>
      <c r="F178" s="0" t="n">
        <f aca="false">$G$1*G178</f>
        <v>137316.192443065</v>
      </c>
      <c r="G178" s="0" t="n">
        <f aca="false">TANH($E$1*B178*86.4/$G$1)</f>
        <v>0.457720641476885</v>
      </c>
      <c r="H178" s="0" t="n">
        <f aca="false">COSH($E$1*B178*86.4/$G$1)</f>
        <v>1.12473785271845</v>
      </c>
      <c r="I178" s="0" t="n">
        <f aca="false">(($G$1^2*1000)/($E$1*$I$1))*(H178-1)</f>
        <v>0.120960592116317</v>
      </c>
      <c r="J178" s="0" t="n">
        <f aca="false">$J$3*EXP(-$E$1*B178*86.4/$G$1)</f>
        <v>609.922121278829</v>
      </c>
      <c r="K178" s="0" t="n">
        <f aca="false">J177-J178</f>
        <v>1.72563732725462</v>
      </c>
    </row>
    <row r="179" customFormat="false" ht="12.8" hidden="false" customHeight="false" outlineLevel="0" collapsed="false">
      <c r="A179" s="0" t="n">
        <v>1</v>
      </c>
      <c r="B179" s="0" t="n">
        <f aca="false">B178+A179</f>
        <v>176</v>
      </c>
      <c r="C179" s="0" t="n">
        <f aca="false">$C$3+($G$1/($E$1*86.4))*SINH($E$1*B179*86.4/$G$1)</f>
        <v>44787.3430632404</v>
      </c>
      <c r="D179" s="0" t="n">
        <f aca="false">C179-$C$3-B179</f>
        <v>7.343063240427</v>
      </c>
      <c r="E179" s="0" t="n">
        <f aca="false">$E$1*B179*86.4</f>
        <v>149174.784</v>
      </c>
      <c r="F179" s="0" t="n">
        <f aca="false">$G$1*G179</f>
        <v>137985.333550744</v>
      </c>
      <c r="G179" s="0" t="n">
        <f aca="false">TANH($E$1*B179*86.4/$G$1)</f>
        <v>0.459951111835813</v>
      </c>
      <c r="H179" s="0" t="n">
        <f aca="false">COSH($E$1*B179*86.4/$G$1)</f>
        <v>1.1261968421914</v>
      </c>
      <c r="I179" s="0" t="n">
        <f aca="false">(($G$1^2*1000)/($E$1*$I$1))*(H179-1)</f>
        <v>0.122375401067198</v>
      </c>
      <c r="J179" s="0" t="n">
        <f aca="false">$J$3*EXP(-$E$1*B179*86.4/$G$1)</f>
        <v>608.201352479486</v>
      </c>
      <c r="K179" s="0" t="n">
        <f aca="false">J178-J179</f>
        <v>1.72076879934241</v>
      </c>
    </row>
    <row r="180" customFormat="false" ht="12.8" hidden="false" customHeight="false" outlineLevel="0" collapsed="false">
      <c r="A180" s="0" t="n">
        <v>1</v>
      </c>
      <c r="B180" s="0" t="n">
        <f aca="false">B179+A180</f>
        <v>177</v>
      </c>
      <c r="C180" s="0" t="n">
        <f aca="false">$C$3+($G$1/($E$1*86.4))*SINH($E$1*B180*86.4/$G$1)</f>
        <v>44788.4699933225</v>
      </c>
      <c r="D180" s="0" t="n">
        <f aca="false">C180-$C$3-B180</f>
        <v>7.46999332251289</v>
      </c>
      <c r="E180" s="0" t="n">
        <f aca="false">$E$1*B180*86.4</f>
        <v>150022.368</v>
      </c>
      <c r="F180" s="0" t="n">
        <f aca="false">$G$1*G180</f>
        <v>138652.737834767</v>
      </c>
      <c r="G180" s="0" t="n">
        <f aca="false">TANH($E$1*B180*86.4/$G$1)</f>
        <v>0.462175792782557</v>
      </c>
      <c r="H180" s="0" t="n">
        <f aca="false">COSH($E$1*B180*86.4/$G$1)</f>
        <v>1.12766482120674</v>
      </c>
      <c r="I180" s="0" t="n">
        <f aca="false">(($G$1^2*1000)/($E$1*$I$1))*(H180-1)</f>
        <v>0.12379892734282</v>
      </c>
      <c r="J180" s="0" t="n">
        <f aca="false">$J$3*EXP(-$E$1*B180*86.4/$G$1)</f>
        <v>606.485438472514</v>
      </c>
      <c r="K180" s="0" t="n">
        <f aca="false">J179-J180</f>
        <v>1.71591400697207</v>
      </c>
    </row>
    <row r="181" customFormat="false" ht="12.8" hidden="false" customHeight="false" outlineLevel="0" collapsed="false">
      <c r="A181" s="0" t="n">
        <v>1</v>
      </c>
      <c r="B181" s="0" t="n">
        <f aca="false">B180+A181</f>
        <v>178</v>
      </c>
      <c r="C181" s="0" t="n">
        <f aca="false">$C$3+($G$1/($E$1*86.4))*SINH($E$1*B181*86.4/$G$1)</f>
        <v>44789.5983958833</v>
      </c>
      <c r="D181" s="0" t="n">
        <f aca="false">C181-$C$3-B181</f>
        <v>7.59839588325849</v>
      </c>
      <c r="E181" s="0" t="n">
        <f aca="false">$E$1*B181*86.4</f>
        <v>150869.952</v>
      </c>
      <c r="F181" s="0" t="n">
        <f aca="false">$G$1*G181</f>
        <v>139318.40143534</v>
      </c>
      <c r="G181" s="0" t="n">
        <f aca="false">TANH($E$1*B181*86.4/$G$1)</f>
        <v>0.464394671451134</v>
      </c>
      <c r="H181" s="0" t="n">
        <f aca="false">COSH($E$1*B181*86.4/$G$1)</f>
        <v>1.12914180148218</v>
      </c>
      <c r="I181" s="0" t="n">
        <f aca="false">(($G$1^2*1000)/($E$1*$I$1))*(H181-1)</f>
        <v>0.125231182306073</v>
      </c>
      <c r="J181" s="0" t="n">
        <f aca="false">$J$3*EXP(-$E$1*B181*86.4/$G$1)</f>
        <v>604.774365561122</v>
      </c>
      <c r="K181" s="0" t="n">
        <f aca="false">J180-J181</f>
        <v>1.71107291139208</v>
      </c>
    </row>
    <row r="182" customFormat="false" ht="12.8" hidden="false" customHeight="false" outlineLevel="0" collapsed="false">
      <c r="A182" s="0" t="n">
        <v>1</v>
      </c>
      <c r="B182" s="0" t="n">
        <f aca="false">B181+A182</f>
        <v>179</v>
      </c>
      <c r="C182" s="0" t="n">
        <f aca="false">$C$3+($G$1/($E$1*86.4))*SINH($E$1*B182*86.4/$G$1)</f>
        <v>44790.7282799298</v>
      </c>
      <c r="D182" s="0" t="n">
        <f aca="false">C182-$C$3-B182</f>
        <v>7.72827992982639</v>
      </c>
      <c r="E182" s="0" t="n">
        <f aca="false">$E$1*B182*86.4</f>
        <v>151717.536</v>
      </c>
      <c r="F182" s="0" t="n">
        <f aca="false">$G$1*G182</f>
        <v>139982.320568208</v>
      </c>
      <c r="G182" s="0" t="n">
        <f aca="false">TANH($E$1*B182*86.4/$G$1)</f>
        <v>0.466607735227359</v>
      </c>
      <c r="H182" s="0" t="n">
        <f aca="false">COSH($E$1*B182*86.4/$G$1)</f>
        <v>1.1306277948073</v>
      </c>
      <c r="I182" s="0" t="n">
        <f aca="false">(($G$1^2*1000)/($E$1*$I$1))*(H182-1)</f>
        <v>0.126672177389521</v>
      </c>
      <c r="J182" s="0" t="n">
        <f aca="false">$J$3*EXP(-$E$1*B182*86.4/$G$1)</f>
        <v>603.068120087163</v>
      </c>
      <c r="K182" s="0" t="n">
        <f aca="false">J181-J182</f>
        <v>1.70624547395926</v>
      </c>
    </row>
    <row r="183" customFormat="false" ht="12.8" hidden="false" customHeight="false" outlineLevel="0" collapsed="false">
      <c r="A183" s="0" t="n">
        <v>1</v>
      </c>
      <c r="B183" s="0" t="n">
        <f aca="false">B182+A183</f>
        <v>180</v>
      </c>
      <c r="C183" s="0" t="n">
        <f aca="false">$C$3+($G$1/($E$1*86.4))*SINH($E$1*B183*86.4/$G$1)</f>
        <v>44791.8596544812</v>
      </c>
      <c r="D183" s="0" t="n">
        <f aca="false">C183-$C$3-B183</f>
        <v>7.85965448118077</v>
      </c>
      <c r="E183" s="0" t="n">
        <f aca="false">$E$1*B183*86.4</f>
        <v>152565.12</v>
      </c>
      <c r="F183" s="0" t="n">
        <f aca="false">$G$1*G183</f>
        <v>140644.491524474</v>
      </c>
      <c r="G183" s="0" t="n">
        <f aca="false">TANH($E$1*B183*86.4/$G$1)</f>
        <v>0.468814971748247</v>
      </c>
      <c r="H183" s="0" t="n">
        <f aca="false">COSH($E$1*B183*86.4/$G$1)</f>
        <v>1.13212281304361</v>
      </c>
      <c r="I183" s="0" t="n">
        <f aca="false">(($G$1^2*1000)/($E$1*$I$1))*(H183-1)</f>
        <v>0.128121924095492</v>
      </c>
      <c r="J183" s="0" t="n">
        <f aca="false">$J$3*EXP(-$E$1*B183*86.4/$G$1)</f>
        <v>601.366688431022</v>
      </c>
      <c r="K183" s="0" t="n">
        <f aca="false">J182-J183</f>
        <v>1.70143165614036</v>
      </c>
    </row>
    <row r="184" customFormat="false" ht="12.8" hidden="false" customHeight="false" outlineLevel="0" collapsed="false">
      <c r="A184" s="0" t="n">
        <v>1</v>
      </c>
      <c r="B184" s="0" t="n">
        <f aca="false">B183+A184</f>
        <v>181</v>
      </c>
      <c r="C184" s="0" t="n">
        <f aca="false">$C$3+($G$1/($E$1*86.4))*SINH($E$1*B184*86.4/$G$1)</f>
        <v>44792.9925285682</v>
      </c>
      <c r="D184" s="0" t="n">
        <f aca="false">C184-$C$3-B184</f>
        <v>7.99252856819658</v>
      </c>
      <c r="E184" s="0" t="n">
        <f aca="false">$E$1*B184*86.4</f>
        <v>153412.704</v>
      </c>
      <c r="F184" s="0" t="n">
        <f aca="false">$G$1*G184</f>
        <v>141304.910670421</v>
      </c>
      <c r="G184" s="0" t="n">
        <f aca="false">TANH($E$1*B184*86.4/$G$1)</f>
        <v>0.471016368901402</v>
      </c>
      <c r="H184" s="0" t="n">
        <f aca="false">COSH($E$1*B184*86.4/$G$1)</f>
        <v>1.13362686812466</v>
      </c>
      <c r="I184" s="0" t="n">
        <f aca="false">(($G$1^2*1000)/($E$1*$I$1))*(H184-1)</f>
        <v>0.129580433996172</v>
      </c>
      <c r="J184" s="0" t="n">
        <f aca="false">$J$3*EXP(-$E$1*B184*86.4/$G$1)</f>
        <v>599.670057011512</v>
      </c>
      <c r="K184" s="0" t="n">
        <f aca="false">J183-J184</f>
        <v>1.69663141951014</v>
      </c>
    </row>
    <row r="185" customFormat="false" ht="12.8" hidden="false" customHeight="false" outlineLevel="0" collapsed="false">
      <c r="A185" s="0" t="n">
        <v>1</v>
      </c>
      <c r="B185" s="0" t="n">
        <f aca="false">B184+A185</f>
        <v>182</v>
      </c>
      <c r="C185" s="0" t="n">
        <f aca="false">$C$3+($G$1/($E$1*86.4))*SINH($E$1*B185*86.4/$G$1)</f>
        <v>44794.1269112337</v>
      </c>
      <c r="D185" s="0" t="n">
        <f aca="false">C185-$C$3-B185</f>
        <v>8.12691123371042</v>
      </c>
      <c r="E185" s="0" t="n">
        <f aca="false">$E$1*B185*86.4</f>
        <v>154260.288</v>
      </c>
      <c r="F185" s="0" t="n">
        <f aca="false">$G$1*G185</f>
        <v>141963.574447314</v>
      </c>
      <c r="G185" s="0" t="n">
        <f aca="false">TANH($E$1*B185*86.4/$G$1)</f>
        <v>0.47321191482438</v>
      </c>
      <c r="H185" s="0" t="n">
        <f aca="false">COSH($E$1*B185*86.4/$G$1)</f>
        <v>1.13513997205614</v>
      </c>
      <c r="I185" s="0" t="n">
        <f aca="false">(($G$1^2*1000)/($E$1*$I$1))*(H185-1)</f>
        <v>0.131047718733697</v>
      </c>
      <c r="J185" s="0" t="n">
        <f aca="false">$J$3*EXP(-$E$1*B185*86.4/$G$1)</f>
        <v>597.97821228576</v>
      </c>
      <c r="K185" s="0" t="n">
        <f aca="false">J184-J185</f>
        <v>1.69184472575228</v>
      </c>
    </row>
    <row r="186" customFormat="false" ht="12.8" hidden="false" customHeight="false" outlineLevel="0" collapsed="false">
      <c r="A186" s="0" t="n">
        <v>1</v>
      </c>
      <c r="B186" s="0" t="n">
        <f aca="false">B185+A186</f>
        <v>183</v>
      </c>
      <c r="C186" s="0" t="n">
        <f aca="false">$C$3+($G$1/($E$1*86.4))*SINH($E$1*B186*86.4/$G$1)</f>
        <v>44795.2628115326</v>
      </c>
      <c r="D186" s="0" t="n">
        <f aca="false">C186-$C$3-B186</f>
        <v>8.26281153261516</v>
      </c>
      <c r="E186" s="0" t="n">
        <f aca="false">$E$1*B186*86.4</f>
        <v>155107.872</v>
      </c>
      <c r="F186" s="0" t="n">
        <f aca="false">$G$1*G186</f>
        <v>142620.47937121</v>
      </c>
      <c r="G186" s="0" t="n">
        <f aca="false">TANH($E$1*B186*86.4/$G$1)</f>
        <v>0.475401597904034</v>
      </c>
      <c r="H186" s="0" t="n">
        <f aca="false">COSH($E$1*B186*86.4/$G$1)</f>
        <v>1.13666213691597</v>
      </c>
      <c r="I186" s="0" t="n">
        <f aca="false">(($G$1^2*1000)/($E$1*$I$1))*(H186-1)</f>
        <v>0.132523790020245</v>
      </c>
      <c r="J186" s="0" t="n">
        <f aca="false">$J$3*EXP(-$E$1*B186*86.4/$G$1)</f>
        <v>596.291140749102</v>
      </c>
      <c r="K186" s="0" t="n">
        <f aca="false">J185-J186</f>
        <v>1.68707153665844</v>
      </c>
    </row>
    <row r="187" customFormat="false" ht="12.8" hidden="false" customHeight="false" outlineLevel="0" collapsed="false">
      <c r="A187" s="0" t="n">
        <v>1</v>
      </c>
      <c r="B187" s="0" t="n">
        <f aca="false">B186+A187</f>
        <v>184</v>
      </c>
      <c r="C187" s="0" t="n">
        <f aca="false">$C$3+($G$1/($E$1*86.4))*SINH($E$1*B187*86.4/$G$1)</f>
        <v>44796.4002385319</v>
      </c>
      <c r="D187" s="0" t="n">
        <f aca="false">C187-$C$3-B187</f>
        <v>8.4002385319036</v>
      </c>
      <c r="E187" s="0" t="n">
        <f aca="false">$E$1*B187*86.4</f>
        <v>155955.456</v>
      </c>
      <c r="F187" s="0" t="n">
        <f aca="false">$G$1*G187</f>
        <v>143275.622032755</v>
      </c>
      <c r="G187" s="0" t="n">
        <f aca="false">TANH($E$1*B187*86.4/$G$1)</f>
        <v>0.477585406775852</v>
      </c>
      <c r="H187" s="0" t="n">
        <f aca="false">COSH($E$1*B187*86.4/$G$1)</f>
        <v>1.13819337485438</v>
      </c>
      <c r="I187" s="0" t="n">
        <f aca="false">(($G$1^2*1000)/($E$1*$I$1))*(H187-1)</f>
        <v>0.134008659638132</v>
      </c>
      <c r="J187" s="0" t="n">
        <f aca="false">$J$3*EXP(-$E$1*B187*86.4/$G$1)</f>
        <v>594.608828934973</v>
      </c>
      <c r="K187" s="0" t="n">
        <f aca="false">J186-J187</f>
        <v>1.68231181412807</v>
      </c>
    </row>
    <row r="188" customFormat="false" ht="12.8" hidden="false" customHeight="false" outlineLevel="0" collapsed="false">
      <c r="A188" s="0" t="n">
        <v>1</v>
      </c>
      <c r="B188" s="0" t="n">
        <f aca="false">B187+A188</f>
        <v>185</v>
      </c>
      <c r="C188" s="0" t="n">
        <f aca="false">$C$3+($G$1/($E$1*86.4))*SINH($E$1*B188*86.4/$G$1)</f>
        <v>44797.5392013108</v>
      </c>
      <c r="D188" s="0" t="n">
        <f aca="false">C188-$C$3-B188</f>
        <v>8.53920131075574</v>
      </c>
      <c r="E188" s="0" t="n">
        <f aca="false">$E$1*B188*86.4</f>
        <v>156803.04</v>
      </c>
      <c r="F188" s="0" t="n">
        <f aca="false">$G$1*G188</f>
        <v>143928.999096978</v>
      </c>
      <c r="G188" s="0" t="n">
        <f aca="false">TANH($E$1*B188*86.4/$G$1)</f>
        <v>0.479763330323262</v>
      </c>
      <c r="H188" s="0" t="n">
        <f aca="false">COSH($E$1*B188*86.4/$G$1)</f>
        <v>1.13973369809406</v>
      </c>
      <c r="I188" s="0" t="n">
        <f aca="false">(($G$1^2*1000)/($E$1*$I$1))*(H188-1)</f>
        <v>0.135502339439901</v>
      </c>
      <c r="J188" s="0" t="n">
        <f aca="false">$J$3*EXP(-$E$1*B188*86.4/$G$1)</f>
        <v>592.931263414806</v>
      </c>
      <c r="K188" s="0" t="n">
        <f aca="false">J187-J188</f>
        <v>1.67756552016738</v>
      </c>
    </row>
    <row r="189" customFormat="false" ht="12.8" hidden="false" customHeight="false" outlineLevel="0" collapsed="false">
      <c r="A189" s="0" t="n">
        <v>1</v>
      </c>
      <c r="B189" s="0" t="n">
        <f aca="false">B188+A189</f>
        <v>186</v>
      </c>
      <c r="C189" s="0" t="n">
        <f aca="false">$C$3+($G$1/($E$1*86.4))*SINH($E$1*B189*86.4/$G$1)</f>
        <v>44798.6797089606</v>
      </c>
      <c r="D189" s="0" t="n">
        <f aca="false">C189-$C$3-B189</f>
        <v>8.67970896061888</v>
      </c>
      <c r="E189" s="0" t="n">
        <f aca="false">$E$1*B189*86.4</f>
        <v>157650.624</v>
      </c>
      <c r="F189" s="0" t="n">
        <f aca="false">$G$1*G189</f>
        <v>144580.60730308</v>
      </c>
      <c r="G189" s="0" t="n">
        <f aca="false">TANH($E$1*B189*86.4/$G$1)</f>
        <v>0.481935357676935</v>
      </c>
      <c r="H189" s="0" t="n">
        <f aca="false">COSH($E$1*B189*86.4/$G$1)</f>
        <v>1.14128311893018</v>
      </c>
      <c r="I189" s="0" t="n">
        <f aca="false">(($G$1^2*1000)/($E$1*$I$1))*(H189-1)</f>
        <v>0.137004841348421</v>
      </c>
      <c r="J189" s="0" t="n">
        <f aca="false">$J$3*EXP(-$E$1*B189*86.4/$G$1)</f>
        <v>591.258430797915</v>
      </c>
      <c r="K189" s="0" t="n">
        <f aca="false">J188-J189</f>
        <v>1.67283261689147</v>
      </c>
    </row>
    <row r="190" customFormat="false" ht="12.8" hidden="false" customHeight="false" outlineLevel="0" collapsed="false">
      <c r="A190" s="0" t="n">
        <v>1</v>
      </c>
      <c r="B190" s="0" t="n">
        <f aca="false">B189+A190</f>
        <v>187</v>
      </c>
      <c r="C190" s="0" t="n">
        <f aca="false">$C$3+($G$1/($E$1*86.4))*SINH($E$1*B190*86.4/$G$1)</f>
        <v>44799.8217705853</v>
      </c>
      <c r="D190" s="0" t="n">
        <f aca="false">C190-$C$3-B190</f>
        <v>8.82177058527304</v>
      </c>
      <c r="E190" s="0" t="n">
        <f aca="false">$E$1*B190*86.4</f>
        <v>158498.208</v>
      </c>
      <c r="F190" s="0" t="n">
        <f aca="false">$G$1*G190</f>
        <v>145230.443464218</v>
      </c>
      <c r="G190" s="0" t="n">
        <f aca="false">TANH($E$1*B190*86.4/$G$1)</f>
        <v>0.48410147821406</v>
      </c>
      <c r="H190" s="0" t="n">
        <f aca="false">COSH($E$1*B190*86.4/$G$1)</f>
        <v>1.14284164973055</v>
      </c>
      <c r="I190" s="0" t="n">
        <f aca="false">(($G$1^2*1000)/($E$1*$I$1))*(H190-1)</f>
        <v>0.138516177356984</v>
      </c>
      <c r="J190" s="0" t="n">
        <f aca="false">$J$3*EXP(-$E$1*B190*86.4/$G$1)</f>
        <v>589.590317731394</v>
      </c>
      <c r="K190" s="0" t="n">
        <f aca="false">J189-J190</f>
        <v>1.6681130665205</v>
      </c>
    </row>
    <row r="191" customFormat="false" ht="12.8" hidden="false" customHeight="false" outlineLevel="0" collapsed="false">
      <c r="A191" s="0" t="n">
        <v>1</v>
      </c>
      <c r="B191" s="0" t="n">
        <f aca="false">B190+A191</f>
        <v>188</v>
      </c>
      <c r="C191" s="0" t="n">
        <f aca="false">$C$3+($G$1/($E$1*86.4))*SINH($E$1*B191*86.4/$G$1)</f>
        <v>44800.9653953009</v>
      </c>
      <c r="D191" s="0" t="n">
        <f aca="false">C191-$C$3-B191</f>
        <v>8.96539530088194</v>
      </c>
      <c r="E191" s="0" t="n">
        <f aca="false">$E$1*B191*86.4</f>
        <v>159345.792</v>
      </c>
      <c r="F191" s="0" t="n">
        <f aca="false">$G$1*G191</f>
        <v>145878.504467282</v>
      </c>
      <c r="G191" s="0" t="n">
        <f aca="false">TANH($E$1*B191*86.4/$G$1)</f>
        <v>0.486261681557607</v>
      </c>
      <c r="H191" s="0" t="n">
        <f aca="false">COSH($E$1*B191*86.4/$G$1)</f>
        <v>1.14440930293569</v>
      </c>
      <c r="I191" s="0" t="n">
        <f aca="false">(($G$1^2*1000)/($E$1*$I$1))*(H191-1)</f>
        <v>0.140036359529393</v>
      </c>
      <c r="J191" s="0" t="n">
        <f aca="false">$J$3*EXP(-$E$1*B191*86.4/$G$1)</f>
        <v>587.926910900012</v>
      </c>
      <c r="K191" s="0" t="n">
        <f aca="false">J190-J191</f>
        <v>1.66340683138253</v>
      </c>
    </row>
    <row r="192" customFormat="false" ht="12.8" hidden="false" customHeight="false" outlineLevel="0" collapsed="false">
      <c r="A192" s="0" t="n">
        <v>1</v>
      </c>
      <c r="B192" s="0" t="n">
        <f aca="false">B191+A192</f>
        <v>189</v>
      </c>
      <c r="C192" s="0" t="n">
        <f aca="false">$C$3+($G$1/($E$1*86.4))*SINH($E$1*B192*86.4/$G$1)</f>
        <v>44802.1105922361</v>
      </c>
      <c r="D192" s="0" t="n">
        <f aca="false">C192-$C$3-B192</f>
        <v>9.11059223611665</v>
      </c>
      <c r="E192" s="0" t="n">
        <f aca="false">$E$1*B192*86.4</f>
        <v>160193.376</v>
      </c>
      <c r="F192" s="0" t="n">
        <f aca="false">$G$1*G192</f>
        <v>146524.787272673</v>
      </c>
      <c r="G192" s="0" t="n">
        <f aca="false">TANH($E$1*B192*86.4/$G$1)</f>
        <v>0.488415957575576</v>
      </c>
      <c r="H192" s="0" t="n">
        <f aca="false">COSH($E$1*B192*86.4/$G$1)</f>
        <v>1.14598609105895</v>
      </c>
      <c r="I192" s="0" t="n">
        <f aca="false">(($G$1^2*1000)/($E$1*$I$1))*(H192-1)</f>
        <v>0.141565400000065</v>
      </c>
      <c r="J192" s="0" t="n">
        <f aca="false">$J$3*EXP(-$E$1*B192*86.4/$G$1)</f>
        <v>586.2681970261</v>
      </c>
      <c r="K192" s="0" t="n">
        <f aca="false">J191-J192</f>
        <v>1.65871387391121</v>
      </c>
    </row>
    <row r="193" customFormat="false" ht="12.8" hidden="false" customHeight="false" outlineLevel="0" collapsed="false">
      <c r="A193" s="0" t="n">
        <v>1</v>
      </c>
      <c r="B193" s="0" t="n">
        <f aca="false">B192+A193</f>
        <v>190</v>
      </c>
      <c r="C193" s="0" t="n">
        <f aca="false">$C$3+($G$1/($E$1*86.4))*SINH($E$1*B193*86.4/$G$1)</f>
        <v>44803.2573705322</v>
      </c>
      <c r="D193" s="0" t="n">
        <f aca="false">C193-$C$3-B193</f>
        <v>9.25737053217017</v>
      </c>
      <c r="E193" s="0" t="n">
        <f aca="false">$E$1*B193*86.4</f>
        <v>161040.96</v>
      </c>
      <c r="F193" s="0" t="n">
        <f aca="false">$G$1*G193</f>
        <v>147169.288914066</v>
      </c>
      <c r="G193" s="0" t="n">
        <f aca="false">TANH($E$1*B193*86.4/$G$1)</f>
        <v>0.490564296380219</v>
      </c>
      <c r="H193" s="0" t="n">
        <f aca="false">COSH($E$1*B193*86.4/$G$1)</f>
        <v>1.14757202668658</v>
      </c>
      <c r="I193" s="0" t="n">
        <f aca="false">(($G$1^2*1000)/($E$1*$I$1))*(H193-1)</f>
        <v>0.143103310974126</v>
      </c>
      <c r="J193" s="0" t="n">
        <f aca="false">$J$3*EXP(-$E$1*B193*86.4/$G$1)</f>
        <v>584.614162869454</v>
      </c>
      <c r="K193" s="0" t="n">
        <f aca="false">J192-J193</f>
        <v>1.65403415664593</v>
      </c>
    </row>
    <row r="194" customFormat="false" ht="12.8" hidden="false" customHeight="false" outlineLevel="0" collapsed="false">
      <c r="A194" s="0" t="n">
        <v>1</v>
      </c>
      <c r="B194" s="0" t="n">
        <f aca="false">B193+A194</f>
        <v>191</v>
      </c>
      <c r="C194" s="0" t="n">
        <f aca="false">$C$3+($G$1/($E$1*86.4))*SINH($E$1*B194*86.4/$G$1)</f>
        <v>44804.4057393429</v>
      </c>
      <c r="D194" s="0" t="n">
        <f aca="false">C194-$C$3-B194</f>
        <v>9.40573934287386</v>
      </c>
      <c r="E194" s="0" t="n">
        <f aca="false">$E$1*B194*86.4</f>
        <v>161888.544</v>
      </c>
      <c r="F194" s="0" t="n">
        <f aca="false">$G$1*G194</f>
        <v>147812.006498179</v>
      </c>
      <c r="G194" s="0" t="n">
        <f aca="false">TANH($E$1*B194*86.4/$G$1)</f>
        <v>0.492706688327263</v>
      </c>
      <c r="H194" s="0" t="n">
        <f aca="false">COSH($E$1*B194*86.4/$G$1)</f>
        <v>1.14916712247786</v>
      </c>
      <c r="I194" s="0" t="n">
        <f aca="false">(($G$1^2*1000)/($E$1*$I$1))*(H194-1)</f>
        <v>0.144650104727508</v>
      </c>
      <c r="J194" s="0" t="n">
        <f aca="false">$J$3*EXP(-$E$1*B194*86.4/$G$1)</f>
        <v>582.964795227221</v>
      </c>
      <c r="K194" s="0" t="n">
        <f aca="false">J193-J194</f>
        <v>1.64936764223307</v>
      </c>
    </row>
    <row r="195" customFormat="false" ht="12.8" hidden="false" customHeight="false" outlineLevel="0" collapsed="false">
      <c r="A195" s="0" t="n">
        <v>1</v>
      </c>
      <c r="B195" s="0" t="n">
        <f aca="false">B194+A195</f>
        <v>192</v>
      </c>
      <c r="C195" s="0" t="n">
        <f aca="false">$C$3+($G$1/($E$1*86.4))*SINH($E$1*B195*86.4/$G$1)</f>
        <v>44805.5557078348</v>
      </c>
      <c r="D195" s="0" t="n">
        <f aca="false">C195-$C$3-B195</f>
        <v>9.55570783475559</v>
      </c>
      <c r="E195" s="0" t="n">
        <f aca="false">$E$1*B195*86.4</f>
        <v>162736.128</v>
      </c>
      <c r="F195" s="0" t="n">
        <f aca="false">$G$1*G195</f>
        <v>148452.93720453</v>
      </c>
      <c r="G195" s="0" t="n">
        <f aca="false">TANH($E$1*B195*86.4/$G$1)</f>
        <v>0.494843124015099</v>
      </c>
      <c r="H195" s="0" t="n">
        <f aca="false">COSH($E$1*B195*86.4/$G$1)</f>
        <v>1.15077139116517</v>
      </c>
      <c r="I195" s="0" t="n">
        <f aca="false">(($G$1^2*1000)/($E$1*$I$1))*(H195-1)</f>
        <v>0.146205793607048</v>
      </c>
      <c r="J195" s="0" t="n">
        <f aca="false">$J$3*EXP(-$E$1*B195*86.4/$G$1)</f>
        <v>581.320080933799</v>
      </c>
      <c r="K195" s="0" t="n">
        <f aca="false">J194-J195</f>
        <v>1.64471429342268</v>
      </c>
    </row>
    <row r="196" customFormat="false" ht="12.8" hidden="false" customHeight="false" outlineLevel="0" collapsed="false">
      <c r="A196" s="0" t="n">
        <v>1</v>
      </c>
      <c r="B196" s="0" t="n">
        <f aca="false">B195+A196</f>
        <v>193</v>
      </c>
      <c r="C196" s="0" t="n">
        <f aca="false">$C$3+($G$1/($E$1*86.4))*SINH($E$1*B196*86.4/$G$1)</f>
        <v>44806.7072851871</v>
      </c>
      <c r="D196" s="0" t="n">
        <f aca="false">C196-$C$3-B196</f>
        <v>9.7072851871053</v>
      </c>
      <c r="E196" s="0" t="n">
        <f aca="false">$E$1*B196*86.4</f>
        <v>163583.712</v>
      </c>
      <c r="F196" s="0" t="n">
        <f aca="false">$G$1*G196</f>
        <v>149092.07828519</v>
      </c>
      <c r="G196" s="0" t="n">
        <f aca="false">TANH($E$1*B196*86.4/$G$1)</f>
        <v>0.496973594283968</v>
      </c>
      <c r="H196" s="0" t="n">
        <f aca="false">COSH($E$1*B196*86.4/$G$1)</f>
        <v>1.15238484555415</v>
      </c>
      <c r="I196" s="0" t="n">
        <f aca="false">(($G$1^2*1000)/($E$1*$I$1))*(H196-1)</f>
        <v>0.147770390030585</v>
      </c>
      <c r="J196" s="0" t="n">
        <f aca="false">$J$3*EXP(-$E$1*B196*86.4/$G$1)</f>
        <v>579.680006860727</v>
      </c>
      <c r="K196" s="0" t="n">
        <f aca="false">J195-J196</f>
        <v>1.64007407307133</v>
      </c>
    </row>
    <row r="197" customFormat="false" ht="12.8" hidden="false" customHeight="false" outlineLevel="0" collapsed="false">
      <c r="A197" s="0" t="n">
        <v>1</v>
      </c>
      <c r="B197" s="0" t="n">
        <f aca="false">B196+A197</f>
        <v>194</v>
      </c>
      <c r="C197" s="0" t="n">
        <f aca="false">$C$3+($G$1/($E$1*86.4))*SINH($E$1*B197*86.4/$G$1)</f>
        <v>44807.8604805921</v>
      </c>
      <c r="D197" s="0" t="n">
        <f aca="false">C197-$C$3-B197</f>
        <v>9.86048059205496</v>
      </c>
      <c r="E197" s="0" t="n">
        <f aca="false">$E$1*B197*86.4</f>
        <v>164431.296</v>
      </c>
      <c r="F197" s="0" t="n">
        <f aca="false">$G$1*G197</f>
        <v>149729.427064539</v>
      </c>
      <c r="G197" s="0" t="n">
        <f aca="false">TANH($E$1*B197*86.4/$G$1)</f>
        <v>0.49909809021513</v>
      </c>
      <c r="H197" s="0" t="n">
        <f aca="false">COSH($E$1*B197*86.4/$G$1)</f>
        <v>1.15400749852371</v>
      </c>
      <c r="I197" s="0" t="n">
        <f aca="false">(($G$1^2*1000)/($E$1*$I$1))*(H197-1)</f>
        <v>0.149343906487058</v>
      </c>
      <c r="J197" s="0" t="n">
        <f aca="false">$J$3*EXP(-$E$1*B197*86.4/$G$1)</f>
        <v>578.044559916588</v>
      </c>
      <c r="K197" s="0" t="n">
        <f aca="false">J196-J197</f>
        <v>1.63544694413952</v>
      </c>
    </row>
    <row r="198" customFormat="false" ht="12.8" hidden="false" customHeight="false" outlineLevel="0" collapsed="false">
      <c r="A198" s="0" t="n">
        <v>1</v>
      </c>
      <c r="B198" s="0" t="n">
        <f aca="false">B197+A198</f>
        <v>195</v>
      </c>
      <c r="C198" s="0" t="n">
        <f aca="false">$C$3+($G$1/($E$1*86.4))*SINH($E$1*B198*86.4/$G$1)</f>
        <v>44809.0153032547</v>
      </c>
      <c r="D198" s="0" t="n">
        <f aca="false">C198-$C$3-B198</f>
        <v>10.0153032546586</v>
      </c>
      <c r="E198" s="0" t="n">
        <f aca="false">$E$1*B198*86.4</f>
        <v>165278.88</v>
      </c>
      <c r="F198" s="0" t="n">
        <f aca="false">$G$1*G198</f>
        <v>150364.980939002</v>
      </c>
      <c r="G198" s="0" t="n">
        <f aca="false">TANH($E$1*B198*86.4/$G$1)</f>
        <v>0.501216603130007</v>
      </c>
      <c r="H198" s="0" t="n">
        <f aca="false">COSH($E$1*B198*86.4/$G$1)</f>
        <v>1.15563936302623</v>
      </c>
      <c r="I198" s="0" t="n">
        <f aca="false">(($G$1^2*1000)/($E$1*$I$1))*(H198-1)</f>
        <v>0.150926355536612</v>
      </c>
      <c r="J198" s="0" t="n">
        <f aca="false">$J$3*EXP(-$E$1*B198*86.4/$G$1)</f>
        <v>576.413727046896</v>
      </c>
      <c r="K198" s="0" t="n">
        <f aca="false">J197-J198</f>
        <v>1.63083286969231</v>
      </c>
    </row>
    <row r="199" customFormat="false" ht="12.8" hidden="false" customHeight="false" outlineLevel="0" collapsed="false">
      <c r="A199" s="0" t="n">
        <v>1</v>
      </c>
      <c r="B199" s="0" t="n">
        <f aca="false">B198+A199</f>
        <v>196</v>
      </c>
      <c r="C199" s="0" t="n">
        <f aca="false">$C$3+($G$1/($E$1*86.4))*SINH($E$1*B199*86.4/$G$1)</f>
        <v>44810.171762393</v>
      </c>
      <c r="D199" s="0" t="n">
        <f aca="false">C199-$C$3-B199</f>
        <v>10.171762392958</v>
      </c>
      <c r="E199" s="0" t="n">
        <f aca="false">$E$1*B199*86.4</f>
        <v>166126.464</v>
      </c>
      <c r="F199" s="0" t="n">
        <f aca="false">$G$1*G199</f>
        <v>150998.737376798</v>
      </c>
      <c r="G199" s="0" t="n">
        <f aca="false">TANH($E$1*B199*86.4/$G$1)</f>
        <v>0.503329124589328</v>
      </c>
      <c r="H199" s="0" t="n">
        <f aca="false">COSH($E$1*B199*86.4/$G$1)</f>
        <v>1.15728045208758</v>
      </c>
      <c r="I199" s="0" t="n">
        <f aca="false">(($G$1^2*1000)/($E$1*$I$1))*(H199-1)</f>
        <v>0.15251774981069</v>
      </c>
      <c r="J199" s="0" t="n">
        <f aca="false">$J$3*EXP(-$E$1*B199*86.4/$G$1)</f>
        <v>574.787495233996</v>
      </c>
      <c r="K199" s="0" t="n">
        <f aca="false">J198-J199</f>
        <v>1.62623181289985</v>
      </c>
    </row>
    <row r="200" customFormat="false" ht="12.8" hidden="false" customHeight="false" outlineLevel="0" collapsed="false">
      <c r="A200" s="0" t="n">
        <v>1</v>
      </c>
      <c r="B200" s="0" t="n">
        <f aca="false">B199+A200</f>
        <v>197</v>
      </c>
      <c r="C200" s="0" t="n">
        <f aca="false">$C$3+($G$1/($E$1*86.4))*SINH($E$1*B200*86.4/$G$1)</f>
        <v>44811.3298672381</v>
      </c>
      <c r="D200" s="0" t="n">
        <f aca="false">C200-$C$3-B200</f>
        <v>10.3298672380552</v>
      </c>
      <c r="E200" s="0" t="n">
        <f aca="false">$E$1*B200*86.4</f>
        <v>166974.048</v>
      </c>
      <c r="F200" s="0" t="n">
        <f aca="false">$G$1*G200</f>
        <v>151630.693917674</v>
      </c>
      <c r="G200" s="0" t="n">
        <f aca="false">TANH($E$1*B200*86.4/$G$1)</f>
        <v>0.505435646392245</v>
      </c>
      <c r="H200" s="0" t="n">
        <f aca="false">COSH($E$1*B200*86.4/$G$1)</f>
        <v>1.15893077880729</v>
      </c>
      <c r="I200" s="0" t="n">
        <f aca="false">(($G$1^2*1000)/($E$1*$I$1))*(H200-1)</f>
        <v>0.15411810201214</v>
      </c>
      <c r="J200" s="0" t="n">
        <f aca="false">$J$3*EXP(-$E$1*B200*86.4/$G$1)</f>
        <v>573.165851496961</v>
      </c>
      <c r="K200" s="0" t="n">
        <f aca="false">J199-J200</f>
        <v>1.6216437370349</v>
      </c>
    </row>
    <row r="201" customFormat="false" ht="12.8" hidden="false" customHeight="false" outlineLevel="0" collapsed="false">
      <c r="A201" s="0" t="n">
        <v>1</v>
      </c>
      <c r="B201" s="0" t="n">
        <f aca="false">B200+A201</f>
        <v>198</v>
      </c>
      <c r="C201" s="0" t="n">
        <f aca="false">$C$3+($G$1/($E$1*86.4))*SINH($E$1*B201*86.4/$G$1)</f>
        <v>44812.4896270342</v>
      </c>
      <c r="D201" s="0" t="n">
        <f aca="false">C201-$C$3-B201</f>
        <v>10.4896270341851</v>
      </c>
      <c r="E201" s="0" t="n">
        <f aca="false">$E$1*B201*86.4</f>
        <v>167821.632</v>
      </c>
      <c r="F201" s="0" t="n">
        <f aca="false">$G$1*G201</f>
        <v>152260.848172632</v>
      </c>
      <c r="G201" s="0" t="n">
        <f aca="false">TANH($E$1*B201*86.4/$G$1)</f>
        <v>0.507536160575441</v>
      </c>
      <c r="H201" s="0" t="n">
        <f aca="false">COSH($E$1*B201*86.4/$G$1)</f>
        <v>1.16059035635863</v>
      </c>
      <c r="I201" s="0" t="n">
        <f aca="false">(($G$1^2*1000)/($E$1*$I$1))*(H201-1)</f>
        <v>0.155727424915312</v>
      </c>
      <c r="J201" s="0" t="n">
        <f aca="false">$J$3*EXP(-$E$1*B201*86.4/$G$1)</f>
        <v>571.548782891486</v>
      </c>
      <c r="K201" s="0" t="n">
        <f aca="false">J200-J201</f>
        <v>1.61706860547451</v>
      </c>
    </row>
    <row r="202" customFormat="false" ht="12.8" hidden="false" customHeight="false" outlineLevel="0" collapsed="false">
      <c r="A202" s="0" t="n">
        <v>1</v>
      </c>
      <c r="B202" s="0" t="n">
        <f aca="false">B201+A202</f>
        <v>199</v>
      </c>
      <c r="C202" s="0" t="n">
        <f aca="false">$C$3+($G$1/($E$1*86.4))*SINH($E$1*B202*86.4/$G$1)</f>
        <v>44813.6510510388</v>
      </c>
      <c r="D202" s="0" t="n">
        <f aca="false">C202-$C$3-B202</f>
        <v>10.6510510387961</v>
      </c>
      <c r="E202" s="0" t="n">
        <f aca="false">$E$1*B202*86.4</f>
        <v>168669.216</v>
      </c>
      <c r="F202" s="0" t="n">
        <f aca="false">$G$1*G202</f>
        <v>152889.197823667</v>
      </c>
      <c r="G202" s="0" t="n">
        <f aca="false">TANH($E$1*B202*86.4/$G$1)</f>
        <v>0.509630659412224</v>
      </c>
      <c r="H202" s="0" t="n">
        <f aca="false">COSH($E$1*B202*86.4/$G$1)</f>
        <v>1.16225919798868</v>
      </c>
      <c r="I202" s="0" t="n">
        <f aca="false">(($G$1^2*1000)/($E$1*$I$1))*(H202-1)</f>
        <v>0.157345731366164</v>
      </c>
      <c r="J202" s="0" t="n">
        <f aca="false">$J$3*EXP(-$E$1*B202*86.4/$G$1)</f>
        <v>569.936276509787</v>
      </c>
      <c r="K202" s="0" t="n">
        <f aca="false">J201-J202</f>
        <v>1.61250638169952</v>
      </c>
    </row>
    <row r="203" customFormat="false" ht="12.8" hidden="false" customHeight="false" outlineLevel="0" collapsed="false">
      <c r="A203" s="0" t="n">
        <v>1</v>
      </c>
      <c r="B203" s="0" t="n">
        <f aca="false">B202+A203</f>
        <v>200</v>
      </c>
      <c r="C203" s="0" t="n">
        <f aca="false">$C$3+($G$1/($E$1*86.4))*SINH($E$1*B203*86.4/$G$1)</f>
        <v>44814.8141485226</v>
      </c>
      <c r="D203" s="0" t="n">
        <f aca="false">C203-$C$3-B203</f>
        <v>10.8141485226297</v>
      </c>
      <c r="E203" s="0" t="n">
        <f aca="false">$E$1*B203*86.4</f>
        <v>169516.8</v>
      </c>
      <c r="F203" s="0" t="n">
        <f aca="false">$G$1*G203</f>
        <v>153515.740623481</v>
      </c>
      <c r="G203" s="0" t="n">
        <f aca="false">TANH($E$1*B203*86.4/$G$1)</f>
        <v>0.511719135411603</v>
      </c>
      <c r="H203" s="0" t="n">
        <f aca="false">COSH($E$1*B203*86.4/$G$1)</f>
        <v>1.1639373170185</v>
      </c>
      <c r="I203" s="0" t="n">
        <f aca="false">(($G$1^2*1000)/($E$1*$I$1))*(H203-1)</f>
        <v>0.158973034282362</v>
      </c>
      <c r="J203" s="0" t="n">
        <f aca="false">$J$3*EXP(-$E$1*B203*86.4/$G$1)</f>
        <v>568.328319480494</v>
      </c>
      <c r="K203" s="0" t="n">
        <f aca="false">J202-J203</f>
        <v>1.60795702929261</v>
      </c>
    </row>
    <row r="204" customFormat="false" ht="12.8" hidden="false" customHeight="false" outlineLevel="0" collapsed="false">
      <c r="A204" s="0" t="n">
        <v>1</v>
      </c>
      <c r="B204" s="0" t="n">
        <f aca="false">B203+A204</f>
        <v>201</v>
      </c>
      <c r="C204" s="0" t="n">
        <f aca="false">$C$3+($G$1/($E$1*86.4))*SINH($E$1*B204*86.4/$G$1)</f>
        <v>44815.9789287698</v>
      </c>
      <c r="D204" s="0" t="n">
        <f aca="false">C204-$C$3-B204</f>
        <v>10.978928769764</v>
      </c>
      <c r="E204" s="0" t="n">
        <f aca="false">$E$1*B204*86.4</f>
        <v>170364.384</v>
      </c>
      <c r="F204" s="0" t="n">
        <f aca="false">$G$1*G204</f>
        <v>154140.474395206</v>
      </c>
      <c r="G204" s="0" t="n">
        <f aca="false">TANH($E$1*B204*86.4/$G$1)</f>
        <v>0.513801581317354</v>
      </c>
      <c r="H204" s="0" t="n">
        <f aca="false">COSH($E$1*B204*86.4/$G$1)</f>
        <v>1.1656247268432</v>
      </c>
      <c r="I204" s="0" t="n">
        <f aca="false">(($G$1^2*1000)/($E$1*$I$1))*(H204-1)</f>
        <v>0.160609346653382</v>
      </c>
      <c r="J204" s="0" t="n">
        <f aca="false">$J$3*EXP(-$E$1*B204*86.4/$G$1)</f>
        <v>566.724898968554</v>
      </c>
      <c r="K204" s="0" t="n">
        <f aca="false">J203-J204</f>
        <v>1.6034205119405</v>
      </c>
    </row>
    <row r="205" customFormat="false" ht="12.8" hidden="false" customHeight="false" outlineLevel="0" collapsed="false">
      <c r="A205" s="0" t="n">
        <v>1</v>
      </c>
      <c r="B205" s="0" t="n">
        <f aca="false">B204+A205</f>
        <v>202</v>
      </c>
      <c r="C205" s="0" t="n">
        <f aca="false">$C$3+($G$1/($E$1*86.4))*SINH($E$1*B205*86.4/$G$1)</f>
        <v>44817.1454010777</v>
      </c>
      <c r="D205" s="0" t="n">
        <f aca="false">C205-$C$3-B205</f>
        <v>11.1454010777379</v>
      </c>
      <c r="E205" s="0" t="n">
        <f aca="false">$E$1*B205*86.4</f>
        <v>171211.968</v>
      </c>
      <c r="F205" s="0" t="n">
        <f aca="false">$G$1*G205</f>
        <v>154763.397032121</v>
      </c>
      <c r="G205" s="0" t="n">
        <f aca="false">TANH($E$1*B205*86.4/$G$1)</f>
        <v>0.515877990107071</v>
      </c>
      <c r="H205" s="0" t="n">
        <f aca="false">COSH($E$1*B205*86.4/$G$1)</f>
        <v>1.16732144093202</v>
      </c>
      <c r="I205" s="0" t="n">
        <f aca="false">(($G$1^2*1000)/($E$1*$I$1))*(H205-1)</f>
        <v>0.162254681540619</v>
      </c>
      <c r="J205" s="0" t="n">
        <f aca="false">$J$3*EXP(-$E$1*B205*86.4/$G$1)</f>
        <v>565.126002175122</v>
      </c>
      <c r="K205" s="0" t="n">
        <f aca="false">J204-J205</f>
        <v>1.59889679343132</v>
      </c>
    </row>
    <row r="206" customFormat="false" ht="12.8" hidden="false" customHeight="false" outlineLevel="0" collapsed="false">
      <c r="A206" s="0" t="n">
        <v>1</v>
      </c>
      <c r="B206" s="0" t="n">
        <f aca="false">B205+A206</f>
        <v>203</v>
      </c>
      <c r="C206" s="0" t="n">
        <f aca="false">$C$3+($G$1/($E$1*86.4))*SINH($E$1*B206*86.4/$G$1)</f>
        <v>44818.3135747576</v>
      </c>
      <c r="D206" s="0" t="n">
        <f aca="false">C206-$C$3-B206</f>
        <v>11.3135747575652</v>
      </c>
      <c r="E206" s="0" t="n">
        <f aca="false">$E$1*B206*86.4</f>
        <v>172059.552</v>
      </c>
      <c r="F206" s="0" t="n">
        <f aca="false">$G$1*G206</f>
        <v>155384.50649736</v>
      </c>
      <c r="G206" s="0" t="n">
        <f aca="false">TANH($E$1*B206*86.4/$G$1)</f>
        <v>0.517948354991201</v>
      </c>
      <c r="H206" s="0" t="n">
        <f aca="false">COSH($E$1*B206*86.4/$G$1)</f>
        <v>1.16902747282852</v>
      </c>
      <c r="I206" s="0" t="n">
        <f aca="false">(($G$1^2*1000)/($E$1*$I$1))*(H206-1)</f>
        <v>0.163909052077485</v>
      </c>
      <c r="J206" s="0" t="n">
        <f aca="false">$J$3*EXP(-$E$1*B206*86.4/$G$1)</f>
        <v>563.531616337466</v>
      </c>
      <c r="K206" s="0" t="n">
        <f aca="false">J205-J206</f>
        <v>1.59438583765586</v>
      </c>
    </row>
    <row r="207" customFormat="false" ht="12.8" hidden="false" customHeight="false" outlineLevel="0" collapsed="false">
      <c r="A207" s="0" t="n">
        <v>1</v>
      </c>
      <c r="B207" s="0" t="n">
        <f aca="false">B206+A207</f>
        <v>204</v>
      </c>
      <c r="C207" s="0" t="n">
        <f aca="false">$C$3+($G$1/($E$1*86.4))*SINH($E$1*B207*86.4/$G$1)</f>
        <v>44819.4834591339</v>
      </c>
      <c r="D207" s="0" t="n">
        <f aca="false">C207-$C$3-B207</f>
        <v>11.4834591338658</v>
      </c>
      <c r="E207" s="0" t="n">
        <f aca="false">$E$1*B207*86.4</f>
        <v>172907.136</v>
      </c>
      <c r="F207" s="0" t="n">
        <f aca="false">$G$1*G207</f>
        <v>156003.800823622</v>
      </c>
      <c r="G207" s="0" t="n">
        <f aca="false">TANH($E$1*B207*86.4/$G$1)</f>
        <v>0.520012669412073</v>
      </c>
      <c r="H207" s="0" t="n">
        <f aca="false">COSH($E$1*B207*86.4/$G$1)</f>
        <v>1.17074283615059</v>
      </c>
      <c r="I207" s="0" t="n">
        <f aca="false">(($G$1^2*1000)/($E$1*$I$1))*(H207-1)</f>
        <v>0.165572471469516</v>
      </c>
      <c r="J207" s="0" t="n">
        <f aca="false">$J$3*EXP(-$E$1*B207*86.4/$G$1)</f>
        <v>561.94172872886</v>
      </c>
      <c r="K207" s="0" t="n">
        <f aca="false">J206-J207</f>
        <v>1.58988760860689</v>
      </c>
    </row>
    <row r="208" customFormat="false" ht="12.8" hidden="false" customHeight="false" outlineLevel="0" collapsed="false">
      <c r="A208" s="0" t="n">
        <v>1</v>
      </c>
      <c r="B208" s="0" t="n">
        <f aca="false">B207+A208</f>
        <v>205</v>
      </c>
      <c r="C208" s="0" t="n">
        <f aca="false">$C$3+($G$1/($E$1*86.4))*SINH($E$1*B208*86.4/$G$1)</f>
        <v>44820.6550635449</v>
      </c>
      <c r="D208" s="0" t="n">
        <f aca="false">C208-$C$3-B208</f>
        <v>11.6550635449021</v>
      </c>
      <c r="E208" s="0" t="n">
        <f aca="false">$E$1*B208*86.4</f>
        <v>173754.72</v>
      </c>
      <c r="F208" s="0" t="n">
        <f aca="false">$G$1*G208</f>
        <v>156621.278112871</v>
      </c>
      <c r="G208" s="0" t="n">
        <f aca="false">TANH($E$1*B208*86.4/$G$1)</f>
        <v>0.522070927042905</v>
      </c>
      <c r="H208" s="0" t="n">
        <f aca="false">COSH($E$1*B208*86.4/$G$1)</f>
        <v>1.17246754459063</v>
      </c>
      <c r="I208" s="0" t="n">
        <f aca="false">(($G$1^2*1000)/($E$1*$I$1))*(H208-1)</f>
        <v>0.167244952994479</v>
      </c>
      <c r="J208" s="0" t="n">
        <f aca="false">$J$3*EXP(-$E$1*B208*86.4/$G$1)</f>
        <v>560.356326658481</v>
      </c>
      <c r="K208" s="0" t="n">
        <f aca="false">J207-J208</f>
        <v>1.58540207037856</v>
      </c>
    </row>
    <row r="209" customFormat="false" ht="12.8" hidden="false" customHeight="false" outlineLevel="0" collapsed="false">
      <c r="A209" s="0" t="n">
        <v>1</v>
      </c>
      <c r="B209" s="0" t="n">
        <f aca="false">B208+A209</f>
        <v>206</v>
      </c>
      <c r="C209" s="0" t="n">
        <f aca="false">$C$3+($G$1/($E$1*86.4))*SINH($E$1*B209*86.4/$G$1)</f>
        <v>44821.8283973427</v>
      </c>
      <c r="D209" s="0" t="n">
        <f aca="false">C209-$C$3-B209</f>
        <v>11.8283973426733</v>
      </c>
      <c r="E209" s="0" t="n">
        <f aca="false">$E$1*B209*86.4</f>
        <v>174602.304</v>
      </c>
      <c r="F209" s="0" t="n">
        <f aca="false">$G$1*G209</f>
        <v>157236.93653604</v>
      </c>
      <c r="G209" s="0" t="n">
        <f aca="false">TANH($E$1*B209*86.4/$G$1)</f>
        <v>0.524123121786801</v>
      </c>
      <c r="H209" s="0" t="n">
        <f aca="false">COSH($E$1*B209*86.4/$G$1)</f>
        <v>1.17420161191563</v>
      </c>
      <c r="I209" s="0" t="n">
        <f aca="false">(($G$1^2*1000)/($E$1*$I$1))*(H209-1)</f>
        <v>0.168926510002478</v>
      </c>
      <c r="J209" s="0" t="n">
        <f aca="false">$J$3*EXP(-$E$1*B209*86.4/$G$1)</f>
        <v>558.775397471315</v>
      </c>
      <c r="K209" s="0" t="n">
        <f aca="false">J208-J209</f>
        <v>1.58092918716625</v>
      </c>
    </row>
    <row r="210" customFormat="false" ht="12.8" hidden="false" customHeight="false" outlineLevel="0" collapsed="false">
      <c r="A210" s="0" t="n">
        <v>1</v>
      </c>
      <c r="B210" s="0" t="n">
        <f aca="false">B209+A210</f>
        <v>207</v>
      </c>
      <c r="C210" s="0" t="n">
        <f aca="false">$C$3+($G$1/($E$1*86.4))*SINH($E$1*B210*86.4/$G$1)</f>
        <v>44823.003469893</v>
      </c>
      <c r="D210" s="0" t="n">
        <f aca="false">C210-$C$3-B210</f>
        <v>12.003469892974</v>
      </c>
      <c r="E210" s="0" t="n">
        <f aca="false">$E$1*B210*86.4</f>
        <v>175449.888</v>
      </c>
      <c r="F210" s="0" t="n">
        <f aca="false">$G$1*G210</f>
        <v>157850.774332723</v>
      </c>
      <c r="G210" s="0" t="n">
        <f aca="false">TANH($E$1*B210*86.4/$G$1)</f>
        <v>0.526169247775743</v>
      </c>
      <c r="H210" s="0" t="n">
        <f aca="false">COSH($E$1*B210*86.4/$G$1)</f>
        <v>1.17594505196728</v>
      </c>
      <c r="I210" s="0" t="n">
        <f aca="false">(($G$1^2*1000)/($E$1*$I$1))*(H210-1)</f>
        <v>0.170617155916057</v>
      </c>
      <c r="J210" s="0" t="n">
        <f aca="false">$J$3*EXP(-$E$1*B210*86.4/$G$1)</f>
        <v>557.198928548048</v>
      </c>
      <c r="K210" s="0" t="n">
        <f aca="false">J209-J210</f>
        <v>1.57646892326636</v>
      </c>
    </row>
    <row r="211" customFormat="false" ht="12.8" hidden="false" customHeight="false" outlineLevel="0" collapsed="false">
      <c r="A211" s="0" t="n">
        <v>1</v>
      </c>
      <c r="B211" s="0" t="n">
        <f aca="false">B210+A211</f>
        <v>208</v>
      </c>
      <c r="C211" s="0" t="n">
        <f aca="false">$C$3+($G$1/($E$1*86.4))*SINH($E$1*B211*86.4/$G$1)</f>
        <v>44824.1802905755</v>
      </c>
      <c r="D211" s="0" t="n">
        <f aca="false">C211-$C$3-B211</f>
        <v>12.1802905754885</v>
      </c>
      <c r="E211" s="0" t="n">
        <f aca="false">$E$1*B211*86.4</f>
        <v>176297.472</v>
      </c>
      <c r="F211" s="0" t="n">
        <f aca="false">$G$1*G211</f>
        <v>158462.789810868</v>
      </c>
      <c r="G211" s="0" t="n">
        <f aca="false">TANH($E$1*B211*86.4/$G$1)</f>
        <v>0.528209299369559</v>
      </c>
      <c r="H211" s="0" t="n">
        <f aca="false">COSH($E$1*B211*86.4/$G$1)</f>
        <v>1.17769787866209</v>
      </c>
      <c r="I211" s="0" t="n">
        <f aca="false">(($G$1^2*1000)/($E$1*$I$1))*(H211-1)</f>
        <v>0.172316904230311</v>
      </c>
      <c r="J211" s="0" t="n">
        <f aca="false">$J$3*EXP(-$E$1*B211*86.4/$G$1)</f>
        <v>555.626907304972</v>
      </c>
      <c r="K211" s="0" t="n">
        <f aca="false">J210-J211</f>
        <v>1.57202124307628</v>
      </c>
    </row>
    <row r="212" customFormat="false" ht="12.8" hidden="false" customHeight="false" outlineLevel="0" collapsed="false">
      <c r="A212" s="0" t="n">
        <v>1</v>
      </c>
      <c r="B212" s="0" t="n">
        <f aca="false">B211+A212</f>
        <v>209</v>
      </c>
      <c r="C212" s="0" t="n">
        <f aca="false">$C$3+($G$1/($E$1*86.4))*SINH($E$1*B212*86.4/$G$1)</f>
        <v>44825.3588687838</v>
      </c>
      <c r="D212" s="0" t="n">
        <f aca="false">C212-$C$3-B212</f>
        <v>12.3588687838419</v>
      </c>
      <c r="E212" s="0" t="n">
        <f aca="false">$E$1*B212*86.4</f>
        <v>177145.056</v>
      </c>
      <c r="F212" s="0" t="n">
        <f aca="false">$G$1*G212</f>
        <v>159072.981346466</v>
      </c>
      <c r="G212" s="0" t="n">
        <f aca="false">TANH($E$1*B212*86.4/$G$1)</f>
        <v>0.530243271154886</v>
      </c>
      <c r="H212" s="0" t="n">
        <f aca="false">COSH($E$1*B212*86.4/$G$1)</f>
        <v>1.1794601059915</v>
      </c>
      <c r="I212" s="0" t="n">
        <f aca="false">(($G$1^2*1000)/($E$1*$I$1))*(H212-1)</f>
        <v>0.174025768512992</v>
      </c>
      <c r="J212" s="0" t="n">
        <f aca="false">$J$3*EXP(-$E$1*B212*86.4/$G$1)</f>
        <v>554.059321193878</v>
      </c>
      <c r="K212" s="0" t="n">
        <f aca="false">J211-J212</f>
        <v>1.56758611109376</v>
      </c>
    </row>
    <row r="213" customFormat="false" ht="12.8" hidden="false" customHeight="false" outlineLevel="0" collapsed="false">
      <c r="A213" s="0" t="n">
        <v>1</v>
      </c>
      <c r="B213" s="0" t="n">
        <f aca="false">B212+A213</f>
        <v>210</v>
      </c>
      <c r="C213" s="0" t="n">
        <f aca="false">$C$3+($G$1/($E$1*86.4))*SINH($E$1*B213*86.4/$G$1)</f>
        <v>44826.5392139257</v>
      </c>
      <c r="D213" s="0" t="n">
        <f aca="false">C213-$C$3-B213</f>
        <v>12.5392139257019</v>
      </c>
      <c r="E213" s="0" t="n">
        <f aca="false">$E$1*B213*86.4</f>
        <v>177992.64</v>
      </c>
      <c r="F213" s="0" t="n">
        <f aca="false">$G$1*G213</f>
        <v>159681.347383236</v>
      </c>
      <c r="G213" s="0" t="n">
        <f aca="false">TANH($E$1*B213*86.4/$G$1)</f>
        <v>0.532271157944121</v>
      </c>
      <c r="H213" s="0" t="n">
        <f aca="false">COSH($E$1*B213*86.4/$G$1)</f>
        <v>1.18123174802198</v>
      </c>
      <c r="I213" s="0" t="n">
        <f aca="false">(($G$1^2*1000)/($E$1*$I$1))*(H213-1)</f>
        <v>0.175743762404617</v>
      </c>
      <c r="J213" s="0" t="n">
        <f aca="false">$J$3*EXP(-$E$1*B213*86.4/$G$1)</f>
        <v>552.496157701962</v>
      </c>
      <c r="K213" s="0" t="n">
        <f aca="false">J212-J213</f>
        <v>1.56316349191627</v>
      </c>
    </row>
    <row r="214" customFormat="false" ht="12.8" hidden="false" customHeight="false" outlineLevel="0" collapsed="false">
      <c r="A214" s="0" t="n">
        <v>1</v>
      </c>
      <c r="B214" s="0" t="n">
        <f aca="false">B213+A214</f>
        <v>211</v>
      </c>
      <c r="C214" s="0" t="n">
        <f aca="false">$C$3+($G$1/($E$1*86.4))*SINH($E$1*B214*86.4/$G$1)</f>
        <v>44827.7213354228</v>
      </c>
      <c r="D214" s="0" t="n">
        <f aca="false">C214-$C$3-B214</f>
        <v>12.721335422837</v>
      </c>
      <c r="E214" s="0" t="n">
        <f aca="false">$E$1*B214*86.4</f>
        <v>178840.224</v>
      </c>
      <c r="F214" s="0" t="n">
        <f aca="false">$G$1*G214</f>
        <v>160287.886432307</v>
      </c>
      <c r="G214" s="0" t="n">
        <f aca="false">TANH($E$1*B214*86.4/$G$1)</f>
        <v>0.534292954774356</v>
      </c>
      <c r="H214" s="0" t="n">
        <f aca="false">COSH($E$1*B214*86.4/$G$1)</f>
        <v>1.18301281889515</v>
      </c>
      <c r="I214" s="0" t="n">
        <f aca="false">(($G$1^2*1000)/($E$1*$I$1))*(H214-1)</f>
        <v>0.177470899618581</v>
      </c>
      <c r="J214" s="0" t="n">
        <f aca="false">$J$3*EXP(-$E$1*B214*86.4/$G$1)</f>
        <v>550.93740435172</v>
      </c>
      <c r="K214" s="0" t="n">
        <f aca="false">J213-J214</f>
        <v>1.558753350242</v>
      </c>
    </row>
    <row r="215" customFormat="false" ht="12.8" hidden="false" customHeight="false" outlineLevel="0" collapsed="false">
      <c r="A215" s="0" t="n">
        <v>1</v>
      </c>
      <c r="B215" s="0" t="n">
        <f aca="false">B214+A215</f>
        <v>212</v>
      </c>
      <c r="C215" s="0" t="n">
        <f aca="false">$C$3+($G$1/($E$1*86.4))*SINH($E$1*B215*86.4/$G$1)</f>
        <v>44828.9052427112</v>
      </c>
      <c r="D215" s="0" t="n">
        <f aca="false">C215-$C$3-B215</f>
        <v>12.9052427111819</v>
      </c>
      <c r="E215" s="0" t="n">
        <f aca="false">$E$1*B215*86.4</f>
        <v>179687.808</v>
      </c>
      <c r="F215" s="0" t="n">
        <f aca="false">$G$1*G215</f>
        <v>160892.597071892</v>
      </c>
      <c r="G215" s="0" t="n">
        <f aca="false">TANH($E$1*B215*86.4/$G$1)</f>
        <v>0.536308656906307</v>
      </c>
      <c r="H215" s="0" t="n">
        <f aca="false">COSH($E$1*B215*86.4/$G$1)</f>
        <v>1.1848033328279</v>
      </c>
      <c r="I215" s="0" t="n">
        <f aca="false">(($G$1^2*1000)/($E$1*$I$1))*(H215-1)</f>
        <v>0.179207193941256</v>
      </c>
      <c r="J215" s="0" t="n">
        <f aca="false">$J$3*EXP(-$E$1*B215*86.4/$G$1)</f>
        <v>549.383048700852</v>
      </c>
      <c r="K215" s="0" t="n">
        <f aca="false">J214-J215</f>
        <v>1.55435565086793</v>
      </c>
    </row>
    <row r="216" customFormat="false" ht="12.8" hidden="false" customHeight="false" outlineLevel="0" collapsed="false">
      <c r="A216" s="0" t="n">
        <v>1</v>
      </c>
      <c r="B216" s="0" t="n">
        <f aca="false">B215+A216</f>
        <v>213</v>
      </c>
      <c r="C216" s="0" t="n">
        <f aca="false">$C$3+($G$1/($E$1*86.4))*SINH($E$1*B216*86.4/$G$1)</f>
        <v>44830.0909452409</v>
      </c>
      <c r="D216" s="0" t="n">
        <f aca="false">C216-$C$3-B216</f>
        <v>13.0909452409396</v>
      </c>
      <c r="E216" s="0" t="n">
        <f aca="false">$E$1*B216*86.4</f>
        <v>180535.392</v>
      </c>
      <c r="F216" s="0" t="n">
        <f aca="false">$G$1*G216</f>
        <v>161495.477946968</v>
      </c>
      <c r="G216" s="0" t="n">
        <f aca="false">TANH($E$1*B216*86.4/$G$1)</f>
        <v>0.538318259823228</v>
      </c>
      <c r="H216" s="0" t="n">
        <f aca="false">COSH($E$1*B216*86.4/$G$1)</f>
        <v>1.18660330411249</v>
      </c>
      <c r="I216" s="0" t="n">
        <f aca="false">(($G$1^2*1000)/($E$1*$I$1))*(H216-1)</f>
        <v>0.180952659232115</v>
      </c>
      <c r="J216" s="0" t="n">
        <f aca="false">$J$3*EXP(-$E$1*B216*86.4/$G$1)</f>
        <v>547.833078342161</v>
      </c>
      <c r="K216" s="0" t="n">
        <f aca="false">J215-J216</f>
        <v>1.54997035869076</v>
      </c>
    </row>
    <row r="217" customFormat="false" ht="12.8" hidden="false" customHeight="false" outlineLevel="0" collapsed="false">
      <c r="A217" s="0" t="n">
        <v>1</v>
      </c>
      <c r="B217" s="0" t="n">
        <f aca="false">B216+A217</f>
        <v>214</v>
      </c>
      <c r="C217" s="0" t="n">
        <f aca="false">$C$3+($G$1/($E$1*86.4))*SINH($E$1*B217*86.4/$G$1)</f>
        <v>44831.2784524767</v>
      </c>
      <c r="D217" s="0" t="n">
        <f aca="false">C217-$C$3-B217</f>
        <v>13.2784524766466</v>
      </c>
      <c r="E217" s="0" t="n">
        <f aca="false">$E$1*B217*86.4</f>
        <v>181382.976</v>
      </c>
      <c r="F217" s="0" t="n">
        <f aca="false">$G$1*G217</f>
        <v>162096.527768944</v>
      </c>
      <c r="G217" s="0" t="n">
        <f aca="false">TANH($E$1*B217*86.4/$G$1)</f>
        <v>0.540321759229815</v>
      </c>
      <c r="H217" s="0" t="n">
        <f aca="false">COSH($E$1*B217*86.4/$G$1)</f>
        <v>1.18841274711667</v>
      </c>
      <c r="I217" s="0" t="n">
        <f aca="false">(($G$1^2*1000)/($E$1*$I$1))*(H217-1)</f>
        <v>0.182707309423832</v>
      </c>
      <c r="J217" s="0" t="n">
        <f aca="false">$J$3*EXP(-$E$1*B217*86.4/$G$1)</f>
        <v>546.287480903455</v>
      </c>
      <c r="K217" s="0" t="n">
        <f aca="false">J216-J217</f>
        <v>1.5455974387063</v>
      </c>
    </row>
    <row r="218" customFormat="false" ht="12.8" hidden="false" customHeight="false" outlineLevel="0" collapsed="false">
      <c r="A218" s="0" t="n">
        <v>1</v>
      </c>
      <c r="B218" s="0" t="n">
        <f aca="false">B217+A218</f>
        <v>215</v>
      </c>
      <c r="C218" s="0" t="n">
        <f aca="false">$C$3+($G$1/($E$1*86.4))*SINH($E$1*B218*86.4/$G$1)</f>
        <v>44832.4677738972</v>
      </c>
      <c r="D218" s="0" t="n">
        <f aca="false">C218-$C$3-B218</f>
        <v>13.4677738972314</v>
      </c>
      <c r="E218" s="0" t="n">
        <f aca="false">$E$1*B218*86.4</f>
        <v>182230.56</v>
      </c>
      <c r="F218" s="0" t="n">
        <f aca="false">$G$1*G218</f>
        <v>162695.74531533</v>
      </c>
      <c r="G218" s="0" t="n">
        <f aca="false">TANH($E$1*B218*86.4/$G$1)</f>
        <v>0.542319151051099</v>
      </c>
      <c r="H218" s="0" t="n">
        <f aca="false">COSH($E$1*B218*86.4/$G$1)</f>
        <v>1.19023167628381</v>
      </c>
      <c r="I218" s="0" t="n">
        <f aca="false">(($G$1^2*1000)/($E$1*$I$1))*(H218-1)</f>
        <v>0.184471158522397</v>
      </c>
      <c r="J218" s="0" t="n">
        <f aca="false">$J$3*EXP(-$E$1*B218*86.4/$G$1)</f>
        <v>544.746244047446</v>
      </c>
      <c r="K218" s="0" t="n">
        <f aca="false">J217-J218</f>
        <v>1.54123685600882</v>
      </c>
    </row>
    <row r="219" customFormat="false" ht="12.8" hidden="false" customHeight="false" outlineLevel="0" collapsed="false">
      <c r="A219" s="0" t="n">
        <v>1</v>
      </c>
      <c r="B219" s="0" t="n">
        <f aca="false">B218+A219</f>
        <v>216</v>
      </c>
      <c r="C219" s="0" t="n">
        <f aca="false">$C$3+($G$1/($E$1*86.4))*SINH($E$1*B219*86.4/$G$1)</f>
        <v>44833.6589189961</v>
      </c>
      <c r="D219" s="0" t="n">
        <f aca="false">C219-$C$3-B219</f>
        <v>13.6589189961087</v>
      </c>
      <c r="E219" s="0" t="n">
        <f aca="false">$E$1*B219*86.4</f>
        <v>183078.144</v>
      </c>
      <c r="F219" s="0" t="n">
        <f aca="false">$G$1*G219</f>
        <v>163293.1294294</v>
      </c>
      <c r="G219" s="0" t="n">
        <f aca="false">TANH($E$1*B219*86.4/$G$1)</f>
        <v>0.544310431431332</v>
      </c>
      <c r="H219" s="0" t="n">
        <f aca="false">COSH($E$1*B219*86.4/$G$1)</f>
        <v>1.19206010613297</v>
      </c>
      <c r="I219" s="0" t="n">
        <f aca="false">(($G$1^2*1000)/($E$1*$I$1))*(H219-1)</f>
        <v>0.186244220607228</v>
      </c>
      <c r="J219" s="0" t="n">
        <f aca="false">$J$3*EXP(-$E$1*B219*86.4/$G$1)</f>
        <v>543.209355471655</v>
      </c>
      <c r="K219" s="0" t="n">
        <f aca="false">J218-J219</f>
        <v>1.5368885757913</v>
      </c>
    </row>
    <row r="220" customFormat="false" ht="12.8" hidden="false" customHeight="false" outlineLevel="0" collapsed="false">
      <c r="A220" s="0" t="n">
        <v>1</v>
      </c>
      <c r="B220" s="0" t="n">
        <f aca="false">B219+A220</f>
        <v>217</v>
      </c>
      <c r="C220" s="0" t="n">
        <f aca="false">$C$3+($G$1/($E$1*86.4))*SINH($E$1*B220*86.4/$G$1)</f>
        <v>44834.8518972813</v>
      </c>
      <c r="D220" s="0" t="n">
        <f aca="false">C220-$C$3-B220</f>
        <v>13.8518972812526</v>
      </c>
      <c r="E220" s="0" t="n">
        <f aca="false">$E$1*B220*86.4</f>
        <v>183925.728</v>
      </c>
      <c r="F220" s="0" t="n">
        <f aca="false">$G$1*G220</f>
        <v>163888.679019857</v>
      </c>
      <c r="G220" s="0" t="n">
        <f aca="false">TANH($E$1*B220*86.4/$G$1)</f>
        <v>0.546295596732856</v>
      </c>
      <c r="H220" s="0" t="n">
        <f aca="false">COSH($E$1*B220*86.4/$G$1)</f>
        <v>1.19389805125909</v>
      </c>
      <c r="I220" s="0" t="n">
        <f aca="false">(($G$1^2*1000)/($E$1*$I$1))*(H220-1)</f>
        <v>0.188026509831284</v>
      </c>
      <c r="J220" s="0" t="n">
        <f aca="false">$J$3*EXP(-$E$1*B220*86.4/$G$1)</f>
        <v>541.67680290831</v>
      </c>
      <c r="K220" s="0" t="n">
        <f aca="false">J219-J220</f>
        <v>1.53255256334455</v>
      </c>
    </row>
    <row r="221" customFormat="false" ht="12.8" hidden="false" customHeight="false" outlineLevel="0" collapsed="false">
      <c r="A221" s="0" t="n">
        <v>1</v>
      </c>
      <c r="B221" s="0" t="n">
        <f aca="false">B220+A221</f>
        <v>218</v>
      </c>
      <c r="C221" s="0" t="n">
        <f aca="false">$C$3+($G$1/($E$1*86.4))*SINH($E$1*B221*86.4/$G$1)</f>
        <v>44836.0467182753</v>
      </c>
      <c r="D221" s="0" t="n">
        <f aca="false">C221-$C$3-B221</f>
        <v>14.0467182752764</v>
      </c>
      <c r="E221" s="0" t="n">
        <f aca="false">$E$1*B221*86.4</f>
        <v>184773.312</v>
      </c>
      <c r="F221" s="0" t="n">
        <f aca="false">$G$1*G221</f>
        <v>164482.393060489</v>
      </c>
      <c r="G221" s="0" t="n">
        <f aca="false">TANH($E$1*B221*86.4/$G$1)</f>
        <v>0.548274643534965</v>
      </c>
      <c r="H221" s="0" t="n">
        <f aca="false">COSH($E$1*B221*86.4/$G$1)</f>
        <v>1.19574552633301</v>
      </c>
      <c r="I221" s="0" t="n">
        <f aca="false">(($G$1^2*1000)/($E$1*$I$1))*(H221-1)</f>
        <v>0.189818040421175</v>
      </c>
      <c r="J221" s="0" t="n">
        <f aca="false">$J$3*EXP(-$E$1*B221*86.4/$G$1)</f>
        <v>540.148574124252</v>
      </c>
      <c r="K221" s="0" t="n">
        <f aca="false">J220-J221</f>
        <v>1.52822878405811</v>
      </c>
    </row>
    <row r="222" customFormat="false" ht="12.8" hidden="false" customHeight="false" outlineLevel="0" collapsed="false">
      <c r="A222" s="0" t="n">
        <v>1</v>
      </c>
      <c r="B222" s="0" t="n">
        <f aca="false">B221+A222</f>
        <v>219</v>
      </c>
      <c r="C222" s="0" t="n">
        <f aca="false">$C$3+($G$1/($E$1*86.4))*SINH($E$1*B222*86.4/$G$1)</f>
        <v>44837.2433915155</v>
      </c>
      <c r="D222" s="0" t="n">
        <f aca="false">C222-$C$3-B222</f>
        <v>14.2433915154834</v>
      </c>
      <c r="E222" s="0" t="n">
        <f aca="false">$E$1*B222*86.4</f>
        <v>185620.896</v>
      </c>
      <c r="F222" s="0" t="n">
        <f aca="false">$G$1*G222</f>
        <v>165074.270589828</v>
      </c>
      <c r="G222" s="0" t="n">
        <f aca="false">TANH($E$1*B222*86.4/$G$1)</f>
        <v>0.550247568632761</v>
      </c>
      <c r="H222" s="0" t="n">
        <f aca="false">COSH($E$1*B222*86.4/$G$1)</f>
        <v>1.1976025461017</v>
      </c>
      <c r="I222" s="0" t="n">
        <f aca="false">(($G$1^2*1000)/($E$1*$I$1))*(H222-1)</f>
        <v>0.191618826677279</v>
      </c>
      <c r="J222" s="0" t="n">
        <f aca="false">$J$3*EXP(-$E$1*B222*86.4/$G$1)</f>
        <v>538.624656920834</v>
      </c>
      <c r="K222" s="0" t="n">
        <f aca="false">J221-J222</f>
        <v>1.52391720341871</v>
      </c>
    </row>
    <row r="223" customFormat="false" ht="12.8" hidden="false" customHeight="false" outlineLevel="0" collapsed="false">
      <c r="A223" s="0" t="n">
        <v>1</v>
      </c>
      <c r="B223" s="0" t="n">
        <f aca="false">B222+A223</f>
        <v>220</v>
      </c>
      <c r="C223" s="0" t="n">
        <f aca="false">$C$3+($G$1/($E$1*86.4))*SINH($E$1*B223*86.4/$G$1)</f>
        <v>44838.441926554</v>
      </c>
      <c r="D223" s="0" t="n">
        <f aca="false">C223-$C$3-B223</f>
        <v>14.4419265539836</v>
      </c>
      <c r="E223" s="0" t="n">
        <f aca="false">$E$1*B223*86.4</f>
        <v>186468.48</v>
      </c>
      <c r="F223" s="0" t="n">
        <f aca="false">$G$1*G223</f>
        <v>165664.310710798</v>
      </c>
      <c r="G223" s="0" t="n">
        <f aca="false">TANH($E$1*B223*86.4/$G$1)</f>
        <v>0.552214369035995</v>
      </c>
      <c r="H223" s="0" t="n">
        <f aca="false">COSH($E$1*B223*86.4/$G$1)</f>
        <v>1.19946912538826</v>
      </c>
      <c r="I223" s="0" t="n">
        <f aca="false">(($G$1^2*1000)/($E$1*$I$1))*(H223-1)</f>
        <v>0.193428882973855</v>
      </c>
      <c r="J223" s="0" t="n">
        <f aca="false">$J$3*EXP(-$E$1*B223*86.4/$G$1)</f>
        <v>537.105039133824</v>
      </c>
      <c r="K223" s="0" t="n">
        <f aca="false">J222-J223</f>
        <v>1.51961778700945</v>
      </c>
    </row>
    <row r="224" customFormat="false" ht="12.8" hidden="false" customHeight="false" outlineLevel="0" collapsed="false">
      <c r="A224" s="0" t="n">
        <v>1</v>
      </c>
      <c r="B224" s="0" t="n">
        <f aca="false">B223+A224</f>
        <v>221</v>
      </c>
      <c r="C224" s="0" t="n">
        <f aca="false">$C$3+($G$1/($E$1*86.4))*SINH($E$1*B224*86.4/$G$1)</f>
        <v>44839.6423329577</v>
      </c>
      <c r="D224" s="0" t="n">
        <f aca="false">C224-$C$3-B224</f>
        <v>14.6423329577301</v>
      </c>
      <c r="E224" s="0" t="n">
        <f aca="false">$E$1*B224*86.4</f>
        <v>187316.064</v>
      </c>
      <c r="F224" s="0" t="n">
        <f aca="false">$G$1*G224</f>
        <v>166252.51259037</v>
      </c>
      <c r="G224" s="0" t="n">
        <f aca="false">TANH($E$1*B224*86.4/$G$1)</f>
        <v>0.554175041967898</v>
      </c>
      <c r="H224" s="0" t="n">
        <f aca="false">COSH($E$1*B224*86.4/$G$1)</f>
        <v>1.20134527909213</v>
      </c>
      <c r="I224" s="0" t="n">
        <f aca="false">(($G$1^2*1000)/($E$1*$I$1))*(H224-1)</f>
        <v>0.195248223759157</v>
      </c>
      <c r="J224" s="0" t="n">
        <f aca="false">$J$3*EXP(-$E$1*B224*86.4/$G$1)</f>
        <v>535.589708633312</v>
      </c>
      <c r="K224" s="0" t="n">
        <f aca="false">J223-J224</f>
        <v>1.51533050051228</v>
      </c>
    </row>
    <row r="225" customFormat="false" ht="12.8" hidden="false" customHeight="false" outlineLevel="0" collapsed="false">
      <c r="A225" s="0" t="n">
        <v>1</v>
      </c>
      <c r="B225" s="0" t="n">
        <f aca="false">B224+A225</f>
        <v>222</v>
      </c>
      <c r="C225" s="0" t="n">
        <f aca="false">$C$3+($G$1/($E$1*86.4))*SINH($E$1*B225*86.4/$G$1)</f>
        <v>44840.8446203086</v>
      </c>
      <c r="D225" s="0" t="n">
        <f aca="false">C225-$C$3-B225</f>
        <v>14.8446203086278</v>
      </c>
      <c r="E225" s="0" t="n">
        <f aca="false">$E$1*B225*86.4</f>
        <v>188163.648</v>
      </c>
      <c r="F225" s="0" t="n">
        <f aca="false">$G$1*G225</f>
        <v>166838.875459204</v>
      </c>
      <c r="G225" s="0" t="n">
        <f aca="false">TANH($E$1*B225*86.4/$G$1)</f>
        <v>0.556129584864012</v>
      </c>
      <c r="H225" s="0" t="n">
        <f aca="false">COSH($E$1*B225*86.4/$G$1)</f>
        <v>1.20323102218917</v>
      </c>
      <c r="I225" s="0" t="n">
        <f aca="false">(($G$1^2*1000)/($E$1*$I$1))*(H225-1)</f>
        <v>0.197076863555548</v>
      </c>
      <c r="J225" s="0" t="n">
        <f aca="false">$J$3*EXP(-$E$1*B225*86.4/$G$1)</f>
        <v>534.078653323607</v>
      </c>
      <c r="K225" s="0" t="n">
        <f aca="false">J224-J225</f>
        <v>1.51105530970528</v>
      </c>
    </row>
    <row r="226" customFormat="false" ht="12.8" hidden="false" customHeight="false" outlineLevel="0" collapsed="false">
      <c r="A226" s="0" t="n">
        <v>1</v>
      </c>
      <c r="B226" s="0" t="n">
        <f aca="false">B225+A226</f>
        <v>223</v>
      </c>
      <c r="C226" s="0" t="n">
        <f aca="false">$C$3+($G$1/($E$1*86.4))*SINH($E$1*B226*86.4/$G$1)</f>
        <v>44842.0487982036</v>
      </c>
      <c r="D226" s="0" t="n">
        <f aca="false">C226-$C$3-B226</f>
        <v>15.048798203592</v>
      </c>
      <c r="E226" s="0" t="n">
        <f aca="false">$E$1*B226*86.4</f>
        <v>189011.232</v>
      </c>
      <c r="F226" s="0" t="n">
        <f aca="false">$G$1*G226</f>
        <v>167423.398611299</v>
      </c>
      <c r="G226" s="0" t="n">
        <f aca="false">TANH($E$1*B226*86.4/$G$1)</f>
        <v>0.558077995370996</v>
      </c>
      <c r="H226" s="0" t="n">
        <f aca="false">COSH($E$1*B226*86.4/$G$1)</f>
        <v>1.20512636973178</v>
      </c>
      <c r="I226" s="0" t="n">
        <f aca="false">(($G$1^2*1000)/($E$1*$I$1))*(H226-1)</f>
        <v>0.198914816959621</v>
      </c>
      <c r="J226" s="0" t="n">
        <f aca="false">$J$3*EXP(-$E$1*B226*86.4/$G$1)</f>
        <v>532.571861143144</v>
      </c>
      <c r="K226" s="0" t="n">
        <f aca="false">J225-J226</f>
        <v>1.50679218046253</v>
      </c>
    </row>
    <row r="227" customFormat="false" ht="12.8" hidden="false" customHeight="false" outlineLevel="0" collapsed="false">
      <c r="A227" s="0" t="n">
        <v>1</v>
      </c>
      <c r="B227" s="0" t="n">
        <f aca="false">B226+A227</f>
        <v>224</v>
      </c>
      <c r="C227" s="0" t="n">
        <f aca="false">$C$3+($G$1/($E$1*86.4))*SINH($E$1*B227*86.4/$G$1)</f>
        <v>44843.2548762546</v>
      </c>
      <c r="D227" s="0" t="n">
        <f aca="false">C227-$C$3-B227</f>
        <v>15.2548762546139</v>
      </c>
      <c r="E227" s="0" t="n">
        <f aca="false">$E$1*B227*86.4</f>
        <v>189858.816</v>
      </c>
      <c r="F227" s="0" t="n">
        <f aca="false">$G$1*G227</f>
        <v>168006.081403632</v>
      </c>
      <c r="G227" s="0" t="n">
        <f aca="false">TANH($E$1*B227*86.4/$G$1)</f>
        <v>0.560020271345439</v>
      </c>
      <c r="H227" s="0" t="n">
        <f aca="false">COSH($E$1*B227*86.4/$G$1)</f>
        <v>1.20703133684903</v>
      </c>
      <c r="I227" s="0" t="n">
        <f aca="false">(($G$1^2*1000)/($E$1*$I$1))*(H227-1)</f>
        <v>0.200762098642309</v>
      </c>
      <c r="J227" s="0" t="n">
        <f aca="false">$J$3*EXP(-$E$1*B227*86.4/$G$1)</f>
        <v>531.069320064389</v>
      </c>
      <c r="K227" s="0" t="n">
        <f aca="false">J226-J227</f>
        <v>1.50254107875503</v>
      </c>
    </row>
    <row r="228" customFormat="false" ht="12.8" hidden="false" customHeight="false" outlineLevel="0" collapsed="false">
      <c r="A228" s="0" t="n">
        <v>1</v>
      </c>
      <c r="B228" s="0" t="n">
        <f aca="false">B227+A228</f>
        <v>225</v>
      </c>
      <c r="C228" s="0" t="n">
        <f aca="false">$C$3+($G$1/($E$1*86.4))*SINH($E$1*B228*86.4/$G$1)</f>
        <v>44844.4628640889</v>
      </c>
      <c r="D228" s="0" t="n">
        <f aca="false">C228-$C$3-B228</f>
        <v>15.4628640888841</v>
      </c>
      <c r="E228" s="0" t="n">
        <f aca="false">$E$1*B228*86.4</f>
        <v>190706.4</v>
      </c>
      <c r="F228" s="0" t="n">
        <f aca="false">$G$1*G228</f>
        <v>168586.923255797</v>
      </c>
      <c r="G228" s="0" t="n">
        <f aca="false">TANH($E$1*B228*86.4/$G$1)</f>
        <v>0.561956410852657</v>
      </c>
      <c r="H228" s="0" t="n">
        <f aca="false">COSH($E$1*B228*86.4/$G$1)</f>
        <v>1.20894593874677</v>
      </c>
      <c r="I228" s="0" t="n">
        <f aca="false">(($G$1^2*1000)/($E$1*$I$1))*(H228-1)</f>
        <v>0.202618723349008</v>
      </c>
      <c r="J228" s="0" t="n">
        <f aca="false">$J$3*EXP(-$E$1*B228*86.4/$G$1)</f>
        <v>529.57101809374</v>
      </c>
      <c r="K228" s="0" t="n">
        <f aca="false">J227-J228</f>
        <v>1.49830197064932</v>
      </c>
    </row>
    <row r="229" customFormat="false" ht="12.8" hidden="false" customHeight="false" outlineLevel="0" collapsed="false">
      <c r="A229" s="0" t="n">
        <v>1</v>
      </c>
      <c r="B229" s="0" t="n">
        <f aca="false">B228+A229</f>
        <v>226</v>
      </c>
      <c r="C229" s="0" t="n">
        <f aca="false">$C$3+($G$1/($E$1*86.4))*SINH($E$1*B229*86.4/$G$1)</f>
        <v>44845.6727713488</v>
      </c>
      <c r="D229" s="0" t="n">
        <f aca="false">C229-$C$3-B229</f>
        <v>15.6727713487999</v>
      </c>
      <c r="E229" s="0" t="n">
        <f aca="false">$E$1*B229*86.4</f>
        <v>191553.984</v>
      </c>
      <c r="F229" s="0" t="n">
        <f aca="false">$G$1*G229</f>
        <v>169165.923649644</v>
      </c>
      <c r="G229" s="0" t="n">
        <f aca="false">TANH($E$1*B229*86.4/$G$1)</f>
        <v>0.56388641216548</v>
      </c>
      <c r="H229" s="0" t="n">
        <f aca="false">COSH($E$1*B229*86.4/$G$1)</f>
        <v>1.21087019070776</v>
      </c>
      <c r="I229" s="0" t="n">
        <f aca="false">(($G$1^2*1000)/($E$1*$I$1))*(H229-1)</f>
        <v>0.20448470589969</v>
      </c>
      <c r="J229" s="0" t="n">
        <f aca="false">$J$3*EXP(-$E$1*B229*86.4/$G$1)</f>
        <v>528.076943271431</v>
      </c>
      <c r="K229" s="0" t="n">
        <f aca="false">J228-J229</f>
        <v>1.49407482230845</v>
      </c>
    </row>
    <row r="230" customFormat="false" ht="12.8" hidden="false" customHeight="false" outlineLevel="0" collapsed="false">
      <c r="A230" s="0" t="n">
        <v>1</v>
      </c>
      <c r="B230" s="0" t="n">
        <f aca="false">B229+A230</f>
        <v>227</v>
      </c>
      <c r="C230" s="0" t="n">
        <f aca="false">$C$3+($G$1/($E$1*86.4))*SINH($E$1*B230*86.4/$G$1)</f>
        <v>44846.8846076921</v>
      </c>
      <c r="D230" s="0" t="n">
        <f aca="false">C230-$C$3-B230</f>
        <v>15.8846076921036</v>
      </c>
      <c r="E230" s="0" t="n">
        <f aca="false">$E$1*B230*86.4</f>
        <v>192401.568</v>
      </c>
      <c r="F230" s="0" t="n">
        <f aca="false">$G$1*G230</f>
        <v>169743.08212891</v>
      </c>
      <c r="G230" s="0" t="n">
        <f aca="false">TANH($E$1*B230*86.4/$G$1)</f>
        <v>0.565810273763033</v>
      </c>
      <c r="H230" s="0" t="n">
        <f aca="false">COSH($E$1*B230*86.4/$G$1)</f>
        <v>1.21280410809179</v>
      </c>
      <c r="I230" s="0" t="n">
        <f aca="false">(($G$1^2*1000)/($E$1*$I$1))*(H230-1)</f>
        <v>0.206360061189024</v>
      </c>
      <c r="J230" s="0" t="n">
        <f aca="false">$J$3*EXP(-$E$1*B230*86.4/$G$1)</f>
        <v>526.587083671441</v>
      </c>
      <c r="K230" s="0" t="n">
        <f aca="false">J229-J230</f>
        <v>1.48985959999004</v>
      </c>
    </row>
    <row r="231" customFormat="false" ht="12.8" hidden="false" customHeight="false" outlineLevel="0" collapsed="false">
      <c r="A231" s="0" t="n">
        <v>1</v>
      </c>
      <c r="B231" s="0" t="n">
        <f aca="false">B230+A231</f>
        <v>228</v>
      </c>
      <c r="C231" s="0" t="n">
        <f aca="false">$C$3+($G$1/($E$1*86.4))*SINH($E$1*B231*86.4/$G$1)</f>
        <v>44848.0983827919</v>
      </c>
      <c r="D231" s="0" t="n">
        <f aca="false">C231-$C$3-B231</f>
        <v>16.0983827919335</v>
      </c>
      <c r="E231" s="0" t="n">
        <f aca="false">$E$1*B231*86.4</f>
        <v>193249.152</v>
      </c>
      <c r="F231" s="0" t="n">
        <f aca="false">$G$1*G231</f>
        <v>170318.398298854</v>
      </c>
      <c r="G231" s="0" t="n">
        <f aca="false">TANH($E$1*B231*86.4/$G$1)</f>
        <v>0.567727994329514</v>
      </c>
      <c r="H231" s="0" t="n">
        <f aca="false">COSH($E$1*B231*86.4/$G$1)</f>
        <v>1.21474770633579</v>
      </c>
      <c r="I231" s="0" t="n">
        <f aca="false">(($G$1^2*1000)/($E$1*$I$1))*(H231-1)</f>
        <v>0.208244804186494</v>
      </c>
      <c r="J231" s="0" t="n">
        <f aca="false">$J$3*EXP(-$E$1*B231*86.4/$G$1)</f>
        <v>525.101427401394</v>
      </c>
      <c r="K231" s="0" t="n">
        <f aca="false">J230-J231</f>
        <v>1.48565627004757</v>
      </c>
    </row>
    <row r="232" customFormat="false" ht="12.8" hidden="false" customHeight="false" outlineLevel="0" collapsed="false">
      <c r="A232" s="0" t="n">
        <v>1</v>
      </c>
      <c r="B232" s="0" t="n">
        <f aca="false">B231+A232</f>
        <v>229</v>
      </c>
      <c r="C232" s="0" t="n">
        <f aca="false">$C$3+($G$1/($E$1*86.4))*SINH($E$1*B232*86.4/$G$1)</f>
        <v>44849.3141063369</v>
      </c>
      <c r="D232" s="0" t="n">
        <f aca="false">C232-$C$3-B232</f>
        <v>16.3141063368967</v>
      </c>
      <c r="E232" s="0" t="n">
        <f aca="false">$E$1*B232*86.4</f>
        <v>194096.736</v>
      </c>
      <c r="F232" s="0" t="n">
        <f aca="false">$G$1*G232</f>
        <v>170891.871825886</v>
      </c>
      <c r="G232" s="0" t="n">
        <f aca="false">TANH($E$1*B232*86.4/$G$1)</f>
        <v>0.569639572752952</v>
      </c>
      <c r="H232" s="0" t="n">
        <f aca="false">COSH($E$1*B232*86.4/$G$1)</f>
        <v>1.21670100095398</v>
      </c>
      <c r="I232" s="0" t="n">
        <f aca="false">(($G$1^2*1000)/($E$1*$I$1))*(H232-1)</f>
        <v>0.21013894993652</v>
      </c>
      <c r="J232" s="0" t="n">
        <f aca="false">$J$3*EXP(-$E$1*B232*86.4/$G$1)</f>
        <v>523.619962602465</v>
      </c>
      <c r="K232" s="0" t="n">
        <f aca="false">J231-J232</f>
        <v>1.48146479892864</v>
      </c>
    </row>
    <row r="233" customFormat="false" ht="12.8" hidden="false" customHeight="false" outlineLevel="0" collapsed="false">
      <c r="A233" s="0" t="n">
        <v>1</v>
      </c>
      <c r="B233" s="0" t="n">
        <f aca="false">B232+A233</f>
        <v>230</v>
      </c>
      <c r="C233" s="0" t="n">
        <f aca="false">$C$3+($G$1/($E$1*86.4))*SINH($E$1*B233*86.4/$G$1)</f>
        <v>44850.5317880312</v>
      </c>
      <c r="D233" s="0" t="n">
        <f aca="false">C233-$C$3-B233</f>
        <v>16.5317880311632</v>
      </c>
      <c r="E233" s="0" t="n">
        <f aca="false">$E$1*B233*86.4</f>
        <v>194944.32</v>
      </c>
      <c r="F233" s="0" t="n">
        <f aca="false">$G$1*G233</f>
        <v>171463.502437192</v>
      </c>
      <c r="G233" s="0" t="n">
        <f aca="false">TANH($E$1*B233*86.4/$G$1)</f>
        <v>0.571545008123972</v>
      </c>
      <c r="H233" s="0" t="n">
        <f aca="false">COSH($E$1*B233*86.4/$G$1)</f>
        <v>1.21866400753797</v>
      </c>
      <c r="I233" s="0" t="n">
        <f aca="false">(($G$1^2*1000)/($E$1*$I$1))*(H233-1)</f>
        <v>0.212042513558574</v>
      </c>
      <c r="J233" s="0" t="n">
        <f aca="false">$J$3*EXP(-$E$1*B233*86.4/$G$1)</f>
        <v>522.142677449289</v>
      </c>
      <c r="K233" s="0" t="n">
        <f aca="false">J232-J233</f>
        <v>1.47728515317647</v>
      </c>
    </row>
    <row r="234" customFormat="false" ht="12.8" hidden="false" customHeight="false" outlineLevel="0" collapsed="false">
      <c r="A234" s="0" t="n">
        <v>1</v>
      </c>
      <c r="B234" s="0" t="n">
        <f aca="false">B233+A234</f>
        <v>231</v>
      </c>
      <c r="C234" s="0" t="n">
        <f aca="false">$C$3+($G$1/($E$1*86.4))*SINH($E$1*B234*86.4/$G$1)</f>
        <v>44851.7514375945</v>
      </c>
      <c r="D234" s="0" t="n">
        <f aca="false">C234-$C$3-B234</f>
        <v>16.7514375945175</v>
      </c>
      <c r="E234" s="0" t="n">
        <f aca="false">$E$1*B234*86.4</f>
        <v>195791.904</v>
      </c>
      <c r="F234" s="0" t="n">
        <f aca="false">$G$1*G234</f>
        <v>172033.289920363</v>
      </c>
      <c r="G234" s="0" t="n">
        <f aca="false">TANH($E$1*B234*86.4/$G$1)</f>
        <v>0.573444299734543</v>
      </c>
      <c r="H234" s="0" t="n">
        <f aca="false">COSH($E$1*B234*86.4/$G$1)</f>
        <v>1.2206367417569</v>
      </c>
      <c r="I234" s="0" t="n">
        <f aca="false">(($G$1^2*1000)/($E$1*$I$1))*(H234-1)</f>
        <v>0.213955510247307</v>
      </c>
      <c r="J234" s="0" t="n">
        <f aca="false">$J$3*EXP(-$E$1*B234*86.4/$G$1)</f>
        <v>520.66956014986</v>
      </c>
      <c r="K234" s="0" t="n">
        <f aca="false">J233-J234</f>
        <v>1.47311729942817</v>
      </c>
    </row>
    <row r="235" customFormat="false" ht="12.8" hidden="false" customHeight="false" outlineLevel="0" collapsed="false">
      <c r="A235" s="0" t="n">
        <v>1</v>
      </c>
      <c r="B235" s="0" t="n">
        <f aca="false">B234+A235</f>
        <v>232</v>
      </c>
      <c r="C235" s="0" t="n">
        <f aca="false">$C$3+($G$1/($E$1*86.4))*SINH($E$1*B235*86.4/$G$1)</f>
        <v>44852.9730647625</v>
      </c>
      <c r="D235" s="0" t="n">
        <f aca="false">C235-$C$3-B235</f>
        <v>16.9730647624674</v>
      </c>
      <c r="E235" s="0" t="n">
        <f aca="false">$E$1*B235*86.4</f>
        <v>196639.488</v>
      </c>
      <c r="F235" s="0" t="n">
        <f aca="false">$G$1*G235</f>
        <v>172601.234123016</v>
      </c>
      <c r="G235" s="0" t="n">
        <f aca="false">TANH($E$1*B235*86.4/$G$1)</f>
        <v>0.575337447076721</v>
      </c>
      <c r="H235" s="0" t="n">
        <f aca="false">COSH($E$1*B235*86.4/$G$1)</f>
        <v>1.22261921935755</v>
      </c>
      <c r="I235" s="0" t="n">
        <f aca="false">(($G$1^2*1000)/($E$1*$I$1))*(H235-1)</f>
        <v>0.215877955272663</v>
      </c>
      <c r="J235" s="0" t="n">
        <f aca="false">$J$3*EXP(-$E$1*B235*86.4/$G$1)</f>
        <v>519.200598945445</v>
      </c>
      <c r="K235" s="0" t="n">
        <f aca="false">J234-J235</f>
        <v>1.46896120441511</v>
      </c>
    </row>
    <row r="236" customFormat="false" ht="12.8" hidden="false" customHeight="false" outlineLevel="0" collapsed="false">
      <c r="A236" s="0" t="n">
        <v>1</v>
      </c>
      <c r="B236" s="0" t="n">
        <f aca="false">B235+A236</f>
        <v>233</v>
      </c>
      <c r="C236" s="0" t="n">
        <f aca="false">$C$3+($G$1/($E$1*86.4))*SINH($E$1*B236*86.4/$G$1)</f>
        <v>44854.1966792863</v>
      </c>
      <c r="D236" s="0" t="n">
        <f aca="false">C236-$C$3-B236</f>
        <v>17.1966792863022</v>
      </c>
      <c r="E236" s="0" t="n">
        <f aca="false">$E$1*B236*86.4</f>
        <v>197487.072</v>
      </c>
      <c r="F236" s="0" t="n">
        <f aca="false">$G$1*G236</f>
        <v>173167.334952415</v>
      </c>
      <c r="G236" s="0" t="n">
        <f aca="false">TANH($E$1*B236*86.4/$G$1)</f>
        <v>0.577224449841385</v>
      </c>
      <c r="H236" s="0" t="n">
        <f aca="false">COSH($E$1*B236*86.4/$G$1)</f>
        <v>1.22461145616448</v>
      </c>
      <c r="I236" s="0" t="n">
        <f aca="false">(($G$1^2*1000)/($E$1*$I$1))*(H236-1)</f>
        <v>0.217809863980008</v>
      </c>
      <c r="J236" s="0" t="n">
        <f aca="false">$J$3*EXP(-$E$1*B236*86.4/$G$1)</f>
        <v>517.735782110483</v>
      </c>
      <c r="K236" s="0" t="n">
        <f aca="false">J235-J236</f>
        <v>1.46481683496233</v>
      </c>
    </row>
    <row r="237" customFormat="false" ht="12.8" hidden="false" customHeight="false" outlineLevel="0" collapsed="false">
      <c r="A237" s="0" t="n">
        <v>1</v>
      </c>
      <c r="B237" s="0" t="n">
        <f aca="false">B236+A237</f>
        <v>234</v>
      </c>
      <c r="C237" s="0" t="n">
        <f aca="false">$C$3+($G$1/($E$1*86.4))*SINH($E$1*B237*86.4/$G$1)</f>
        <v>44855.4222909332</v>
      </c>
      <c r="D237" s="0" t="n">
        <f aca="false">C237-$C$3-B237</f>
        <v>17.4222909331656</v>
      </c>
      <c r="E237" s="0" t="n">
        <f aca="false">$E$1*B237*86.4</f>
        <v>198334.656</v>
      </c>
      <c r="F237" s="0" t="n">
        <f aca="false">$G$1*G237</f>
        <v>173731.592375091</v>
      </c>
      <c r="G237" s="0" t="n">
        <f aca="false">TANH($E$1*B237*86.4/$G$1)</f>
        <v>0.579105307916969</v>
      </c>
      <c r="H237" s="0" t="n">
        <f aca="false">COSH($E$1*B237*86.4/$G$1)</f>
        <v>1.22661346808015</v>
      </c>
      <c r="I237" s="0" t="n">
        <f aca="false">(($G$1^2*1000)/($E$1*$I$1))*(H237-1)</f>
        <v>0.219751251790247</v>
      </c>
      <c r="J237" s="0" t="n">
        <f aca="false">$J$3*EXP(-$E$1*B237*86.4/$G$1)</f>
        <v>516.275097952494</v>
      </c>
      <c r="K237" s="0" t="n">
        <f aca="false">J236-J237</f>
        <v>1.46068415798868</v>
      </c>
    </row>
    <row r="238" customFormat="false" ht="12.8" hidden="false" customHeight="false" outlineLevel="0" collapsed="false">
      <c r="A238" s="0" t="n">
        <v>1</v>
      </c>
      <c r="B238" s="0" t="n">
        <f aca="false">B237+A238</f>
        <v>235</v>
      </c>
      <c r="C238" s="0" t="n">
        <f aca="false">$C$3+($G$1/($E$1*86.4))*SINH($E$1*B238*86.4/$G$1)</f>
        <v>44856.6499094862</v>
      </c>
      <c r="D238" s="0" t="n">
        <f aca="false">C238-$C$3-B238</f>
        <v>17.6499094861574</v>
      </c>
      <c r="E238" s="0" t="n">
        <f aca="false">$E$1*B238*86.4</f>
        <v>199182.24</v>
      </c>
      <c r="F238" s="0" t="n">
        <f aca="false">$G$1*G238</f>
        <v>174294.006416456</v>
      </c>
      <c r="G238" s="0" t="n">
        <f aca="false">TANH($E$1*B238*86.4/$G$1)</f>
        <v>0.580980021388185</v>
      </c>
      <c r="H238" s="0" t="n">
        <f aca="false">COSH($E$1*B238*86.4/$G$1)</f>
        <v>1.22862527108504</v>
      </c>
      <c r="I238" s="0" t="n">
        <f aca="false">(($G$1^2*1000)/($E$1*$I$1))*(H238-1)</f>
        <v>0.22170213419995</v>
      </c>
      <c r="J238" s="0" t="n">
        <f aca="false">$J$3*EXP(-$E$1*B238*86.4/$G$1)</f>
        <v>514.818534811988</v>
      </c>
      <c r="K238" s="0" t="n">
        <f aca="false">J237-J238</f>
        <v>1.45656314050632</v>
      </c>
    </row>
    <row r="239" customFormat="false" ht="12.8" hidden="false" customHeight="false" outlineLevel="0" collapsed="false">
      <c r="A239" s="0" t="n">
        <v>1</v>
      </c>
      <c r="B239" s="0" t="n">
        <f aca="false">B238+A239</f>
        <v>236</v>
      </c>
      <c r="C239" s="0" t="n">
        <f aca="false">$C$3+($G$1/($E$1*86.4))*SINH($E$1*B239*86.4/$G$1)</f>
        <v>44857.8795447444</v>
      </c>
      <c r="D239" s="0" t="n">
        <f aca="false">C239-$C$3-B239</f>
        <v>17.8795447443845</v>
      </c>
      <c r="E239" s="0" t="n">
        <f aca="false">$E$1*B239*86.4</f>
        <v>200029.824</v>
      </c>
      <c r="F239" s="0" t="n">
        <f aca="false">$G$1*G239</f>
        <v>174854.577160422</v>
      </c>
      <c r="G239" s="0" t="n">
        <f aca="false">TANH($E$1*B239*86.4/$G$1)</f>
        <v>0.58284859053474</v>
      </c>
      <c r="H239" s="0" t="n">
        <f aca="false">COSH($E$1*B239*86.4/$G$1)</f>
        <v>1.23064688123778</v>
      </c>
      <c r="I239" s="0" t="n">
        <f aca="false">(($G$1^2*1000)/($E$1*$I$1))*(H239-1)</f>
        <v>0.223662526781474</v>
      </c>
      <c r="J239" s="0" t="n">
        <f aca="false">$J$3*EXP(-$E$1*B239*86.4/$G$1)</f>
        <v>513.366081062368</v>
      </c>
      <c r="K239" s="0" t="n">
        <f aca="false">J238-J239</f>
        <v>1.45245374961996</v>
      </c>
    </row>
    <row r="240" customFormat="false" ht="12.8" hidden="false" customHeight="false" outlineLevel="0" collapsed="false">
      <c r="A240" s="0" t="n">
        <v>1</v>
      </c>
      <c r="B240" s="0" t="n">
        <f aca="false">B239+A240</f>
        <v>237</v>
      </c>
      <c r="C240" s="0" t="n">
        <f aca="false">$C$3+($G$1/($E$1*86.4))*SINH($E$1*B240*86.4/$G$1)</f>
        <v>44859.1112065231</v>
      </c>
      <c r="D240" s="0" t="n">
        <f aca="false">C240-$C$3-B240</f>
        <v>18.1112065230627</v>
      </c>
      <c r="E240" s="0" t="n">
        <f aca="false">$E$1*B240*86.4</f>
        <v>200877.408</v>
      </c>
      <c r="F240" s="0" t="n">
        <f aca="false">$G$1*G240</f>
        <v>175413.304749014</v>
      </c>
      <c r="G240" s="0" t="n">
        <f aca="false">TANH($E$1*B240*86.4/$G$1)</f>
        <v>0.584711015830047</v>
      </c>
      <c r="H240" s="0" t="n">
        <f aca="false">COSH($E$1*B240*86.4/$G$1)</f>
        <v>1.23267831467531</v>
      </c>
      <c r="I240" s="0" t="n">
        <f aca="false">(($G$1^2*1000)/($E$1*$I$1))*(H240-1)</f>
        <v>0.22563244518309</v>
      </c>
      <c r="J240" s="0" t="n">
        <f aca="false">$J$3*EXP(-$E$1*B240*86.4/$G$1)</f>
        <v>511.91772510984</v>
      </c>
      <c r="K240" s="0" t="n">
        <f aca="false">J239-J240</f>
        <v>1.44835595252812</v>
      </c>
    </row>
    <row r="241" customFormat="false" ht="12.8" hidden="false" customHeight="false" outlineLevel="0" collapsed="false">
      <c r="A241" s="0" t="n">
        <v>1</v>
      </c>
      <c r="B241" s="0" t="n">
        <f aca="false">B240+A241</f>
        <v>238</v>
      </c>
      <c r="C241" s="0" t="n">
        <f aca="false">$C$3+($G$1/($E$1*86.4))*SINH($E$1*B241*86.4/$G$1)</f>
        <v>44860.3449046536</v>
      </c>
      <c r="D241" s="0" t="n">
        <f aca="false">C241-$C$3-B241</f>
        <v>18.3449046535679</v>
      </c>
      <c r="E241" s="0" t="n">
        <f aca="false">$E$1*B241*86.4</f>
        <v>201724.992</v>
      </c>
      <c r="F241" s="0" t="n">
        <f aca="false">$G$1*G241</f>
        <v>175970.189381979</v>
      </c>
      <c r="G241" s="0" t="n">
        <f aca="false">TANH($E$1*B241*86.4/$G$1)</f>
        <v>0.58656729793993</v>
      </c>
      <c r="H241" s="0" t="n">
        <f aca="false">COSH($E$1*B241*86.4/$G$1)</f>
        <v>1.23471958761295</v>
      </c>
      <c r="I241" s="0" t="n">
        <f aca="false">(($G$1^2*1000)/($E$1*$I$1))*(H241-1)</f>
        <v>0.227611905129105</v>
      </c>
      <c r="J241" s="0" t="n">
        <f aca="false">$J$3*EXP(-$E$1*B241*86.4/$G$1)</f>
        <v>510.473455393319</v>
      </c>
      <c r="K241" s="0" t="n">
        <f aca="false">J240-J241</f>
        <v>1.44426971652115</v>
      </c>
    </row>
    <row r="242" customFormat="false" ht="12.8" hidden="false" customHeight="false" outlineLevel="0" collapsed="false">
      <c r="A242" s="0" t="n">
        <v>1</v>
      </c>
      <c r="B242" s="0" t="n">
        <f aca="false">B241+A242</f>
        <v>239</v>
      </c>
      <c r="C242" s="0" t="n">
        <f aca="false">$C$3+($G$1/($E$1*86.4))*SINH($E$1*B242*86.4/$G$1)</f>
        <v>44861.5806489836</v>
      </c>
      <c r="D242" s="0" t="n">
        <f aca="false">C242-$C$3-B242</f>
        <v>18.5806489835522</v>
      </c>
      <c r="E242" s="0" t="n">
        <f aca="false">$E$1*B242*86.4</f>
        <v>202572.576</v>
      </c>
      <c r="F242" s="0" t="n">
        <f aca="false">$G$1*G242</f>
        <v>176525.231316397</v>
      </c>
      <c r="G242" s="0" t="n">
        <f aca="false">TANH($E$1*B242*86.4/$G$1)</f>
        <v>0.588417437721324</v>
      </c>
      <c r="H242" s="0" t="n">
        <f aca="false">COSH($E$1*B242*86.4/$G$1)</f>
        <v>1.23677071634458</v>
      </c>
      <c r="I242" s="0" t="n">
        <f aca="false">(($G$1^2*1000)/($E$1*$I$1))*(H242-1)</f>
        <v>0.229600922419987</v>
      </c>
      <c r="J242" s="0" t="n">
        <f aca="false">$J$3*EXP(-$E$1*B242*86.4/$G$1)</f>
        <v>509.033260384337</v>
      </c>
      <c r="K242" s="0" t="n">
        <f aca="false">J241-J242</f>
        <v>1.44019500898162</v>
      </c>
    </row>
    <row r="243" customFormat="false" ht="12.8" hidden="false" customHeight="false" outlineLevel="0" collapsed="false">
      <c r="A243" s="0" t="n">
        <v>1</v>
      </c>
      <c r="B243" s="0" t="n">
        <f aca="false">B242+A243</f>
        <v>240</v>
      </c>
      <c r="C243" s="0" t="n">
        <f aca="false">$C$3+($G$1/($E$1*86.4))*SINH($E$1*B243*86.4/$G$1)</f>
        <v>44862.818449377</v>
      </c>
      <c r="D243" s="0" t="n">
        <f aca="false">C243-$C$3-B243</f>
        <v>18.8184493769804</v>
      </c>
      <c r="E243" s="0" t="n">
        <f aca="false">$E$1*B243*86.4</f>
        <v>203420.16</v>
      </c>
      <c r="F243" s="0" t="n">
        <f aca="false">$G$1*G243</f>
        <v>177078.430866291</v>
      </c>
      <c r="G243" s="0" t="n">
        <f aca="false">TANH($E$1*B243*86.4/$G$1)</f>
        <v>0.590261436220969</v>
      </c>
      <c r="H243" s="0" t="n">
        <f aca="false">COSH($E$1*B243*86.4/$G$1)</f>
        <v>1.23883171724274</v>
      </c>
      <c r="I243" s="0" t="n">
        <f aca="false">(($G$1^2*1000)/($E$1*$I$1))*(H243-1)</f>
        <v>0.231599512932497</v>
      </c>
      <c r="J243" s="0" t="n">
        <f aca="false">$J$3*EXP(-$E$1*B243*86.4/$G$1)</f>
        <v>507.597128586952</v>
      </c>
      <c r="K243" s="0" t="n">
        <f aca="false">J242-J243</f>
        <v>1.43613179738475</v>
      </c>
    </row>
    <row r="244" customFormat="false" ht="12.8" hidden="false" customHeight="false" outlineLevel="0" collapsed="false">
      <c r="A244" s="0" t="n">
        <v>1</v>
      </c>
      <c r="B244" s="0" t="n">
        <f aca="false">B243+A244</f>
        <v>241</v>
      </c>
      <c r="C244" s="0" t="n">
        <f aca="false">$C$3+($G$1/($E$1*86.4))*SINH($E$1*B244*86.4/$G$1)</f>
        <v>44864.0583157142</v>
      </c>
      <c r="D244" s="0" t="n">
        <f aca="false">C244-$C$3-B244</f>
        <v>19.0583157142391</v>
      </c>
      <c r="E244" s="0" t="n">
        <f aca="false">$E$1*B244*86.4</f>
        <v>204267.744</v>
      </c>
      <c r="F244" s="0" t="n">
        <f aca="false">$G$1*G244</f>
        <v>177629.78840223</v>
      </c>
      <c r="G244" s="0" t="n">
        <f aca="false">TANH($E$1*B244*86.4/$G$1)</f>
        <v>0.592099294674101</v>
      </c>
      <c r="H244" s="0" t="n">
        <f aca="false">COSH($E$1*B244*86.4/$G$1)</f>
        <v>1.24090260675879</v>
      </c>
      <c r="I244" s="0" t="n">
        <f aca="false">(($G$1^2*1000)/($E$1*$I$1))*(H244-1)</f>
        <v>0.233607692619808</v>
      </c>
      <c r="J244" s="0" t="n">
        <f aca="false">$J$3*EXP(-$E$1*B244*86.4/$G$1)</f>
        <v>506.165048537655</v>
      </c>
      <c r="K244" s="0" t="n">
        <f aca="false">J243-J244</f>
        <v>1.43208004929687</v>
      </c>
    </row>
    <row r="245" customFormat="false" ht="12.8" hidden="false" customHeight="false" outlineLevel="0" collapsed="false">
      <c r="A245" s="0" t="n">
        <v>1</v>
      </c>
      <c r="B245" s="0" t="n">
        <f aca="false">B244+A245</f>
        <v>242</v>
      </c>
      <c r="C245" s="0" t="n">
        <f aca="false">$C$3+($G$1/($E$1*86.4))*SINH($E$1*B245*86.4/$G$1)</f>
        <v>44865.3002578922</v>
      </c>
      <c r="D245" s="0" t="n">
        <f aca="false">C245-$C$3-B245</f>
        <v>19.3002578922096</v>
      </c>
      <c r="E245" s="0" t="n">
        <f aca="false">$E$1*B245*86.4</f>
        <v>205115.328</v>
      </c>
      <c r="F245" s="0" t="n">
        <f aca="false">$G$1*G245</f>
        <v>178179.304350939</v>
      </c>
      <c r="G245" s="0" t="n">
        <f aca="false">TANH($E$1*B245*86.4/$G$1)</f>
        <v>0.593931014503131</v>
      </c>
      <c r="H245" s="0" t="n">
        <f aca="false">COSH($E$1*B245*86.4/$G$1)</f>
        <v>1.24298340142299</v>
      </c>
      <c r="I245" s="0" t="n">
        <f aca="false">(($G$1^2*1000)/($E$1*$I$1))*(H245-1)</f>
        <v>0.235625477511636</v>
      </c>
      <c r="J245" s="0" t="n">
        <f aca="false">$J$3*EXP(-$E$1*B245*86.4/$G$1)</f>
        <v>504.73700880528</v>
      </c>
      <c r="K245" s="0" t="n">
        <f aca="false">J244-J245</f>
        <v>1.42803973237591</v>
      </c>
    </row>
    <row r="246" customFormat="false" ht="12.8" hidden="false" customHeight="false" outlineLevel="0" collapsed="false">
      <c r="A246" s="0" t="n">
        <v>1</v>
      </c>
      <c r="B246" s="0" t="n">
        <f aca="false">B245+A246</f>
        <v>243</v>
      </c>
      <c r="C246" s="0" t="n">
        <f aca="false">$C$3+($G$1/($E$1*86.4))*SINH($E$1*B246*86.4/$G$1)</f>
        <v>44866.5442858243</v>
      </c>
      <c r="D246" s="0" t="n">
        <f aca="false">C246-$C$3-B246</f>
        <v>19.5442858243405</v>
      </c>
      <c r="E246" s="0" t="n">
        <f aca="false">$E$1*B246*86.4</f>
        <v>205962.912</v>
      </c>
      <c r="F246" s="0" t="n">
        <f aca="false">$G$1*G246</f>
        <v>178726.979194899</v>
      </c>
      <c r="G246" s="0" t="n">
        <f aca="false">TANH($E$1*B246*86.4/$G$1)</f>
        <v>0.59575659731633</v>
      </c>
      <c r="H246" s="0" t="n">
        <f aca="false">COSH($E$1*B246*86.4/$G$1)</f>
        <v>1.24507411784469</v>
      </c>
      <c r="I246" s="0" t="n">
        <f aca="false">(($G$1^2*1000)/($E$1*$I$1))*(H246-1)</f>
        <v>0.237652883714368</v>
      </c>
      <c r="J246" s="0" t="n">
        <f aca="false">$J$3*EXP(-$E$1*B246*86.4/$G$1)</f>
        <v>503.312997990908</v>
      </c>
      <c r="K246" s="0" t="n">
        <f aca="false">J245-J246</f>
        <v>1.42401081437163</v>
      </c>
    </row>
    <row r="247" customFormat="false" ht="12.8" hidden="false" customHeight="false" outlineLevel="0" collapsed="false">
      <c r="A247" s="0" t="n">
        <v>1</v>
      </c>
      <c r="B247" s="0" t="n">
        <f aca="false">B246+A247</f>
        <v>244</v>
      </c>
      <c r="C247" s="0" t="n">
        <f aca="false">$C$3+($G$1/($E$1*86.4))*SINH($E$1*B247*86.4/$G$1)</f>
        <v>44867.7904094407</v>
      </c>
      <c r="D247" s="0" t="n">
        <f aca="false">C247-$C$3-B247</f>
        <v>19.7904094407131</v>
      </c>
      <c r="E247" s="0" t="n">
        <f aca="false">$E$1*B247*86.4</f>
        <v>206810.496</v>
      </c>
      <c r="F247" s="0" t="n">
        <f aca="false">$G$1*G247</f>
        <v>179272.813471949</v>
      </c>
      <c r="G247" s="0" t="n">
        <f aca="false">TANH($E$1*B247*86.4/$G$1)</f>
        <v>0.597576044906497</v>
      </c>
      <c r="H247" s="0" t="n">
        <f aca="false">COSH($E$1*B247*86.4/$G$1)</f>
        <v>1.24717477271245</v>
      </c>
      <c r="I247" s="0" t="n">
        <f aca="false">(($G$1^2*1000)/($E$1*$I$1))*(H247-1)</f>
        <v>0.239689927411194</v>
      </c>
      <c r="J247" s="0" t="n">
        <f aca="false">$J$3*EXP(-$E$1*B247*86.4/$G$1)</f>
        <v>501.893004727784</v>
      </c>
      <c r="K247" s="0" t="n">
        <f aca="false">J246-J247</f>
        <v>1.41999326312401</v>
      </c>
    </row>
    <row r="248" customFormat="false" ht="12.8" hidden="false" customHeight="false" outlineLevel="0" collapsed="false">
      <c r="A248" s="0" t="n">
        <v>1</v>
      </c>
      <c r="B248" s="0" t="n">
        <f aca="false">B247+A248</f>
        <v>245</v>
      </c>
      <c r="C248" s="0" t="n">
        <f aca="false">$C$3+($G$1/($E$1*86.4))*SINH($E$1*B248*86.4/$G$1)</f>
        <v>44869.0386386882</v>
      </c>
      <c r="D248" s="0" t="n">
        <f aca="false">C248-$C$3-B248</f>
        <v>20.0386386881655</v>
      </c>
      <c r="E248" s="0" t="n">
        <f aca="false">$E$1*B248*86.4</f>
        <v>207658.08</v>
      </c>
      <c r="F248" s="0" t="n">
        <f aca="false">$G$1*G248</f>
        <v>179816.80777489</v>
      </c>
      <c r="G248" s="0" t="n">
        <f aca="false">TANH($E$1*B248*86.4/$G$1)</f>
        <v>0.599389359249634</v>
      </c>
      <c r="H248" s="0" t="n">
        <f aca="false">COSH($E$1*B248*86.4/$G$1)</f>
        <v>1.24928538279412</v>
      </c>
      <c r="I248" s="0" t="n">
        <f aca="false">(($G$1^2*1000)/($E$1*$I$1))*(H248-1)</f>
        <v>0.241736624862226</v>
      </c>
      <c r="J248" s="0" t="n">
        <f aca="false">$J$3*EXP(-$E$1*B248*86.4/$G$1)</f>
        <v>500.47701768122</v>
      </c>
      <c r="K248" s="0" t="n">
        <f aca="false">J247-J248</f>
        <v>1.41598704656423</v>
      </c>
    </row>
    <row r="249" customFormat="false" ht="12.8" hidden="false" customHeight="false" outlineLevel="0" collapsed="false">
      <c r="A249" s="0" t="n">
        <v>1</v>
      </c>
      <c r="B249" s="0" t="n">
        <f aca="false">B248+A249</f>
        <v>246</v>
      </c>
      <c r="C249" s="0" t="n">
        <f aca="false">$C$3+($G$1/($E$1*86.4))*SINH($E$1*B249*86.4/$G$1)</f>
        <v>44870.2889835303</v>
      </c>
      <c r="D249" s="0" t="n">
        <f aca="false">C249-$C$3-B249</f>
        <v>20.2889835303213</v>
      </c>
      <c r="E249" s="0" t="n">
        <f aca="false">$E$1*B249*86.4</f>
        <v>208505.664</v>
      </c>
      <c r="F249" s="0" t="n">
        <f aca="false">$G$1*G249</f>
        <v>180358.962751083</v>
      </c>
      <c r="G249" s="0" t="n">
        <f aca="false">TANH($E$1*B249*86.4/$G$1)</f>
        <v>0.601196542503609</v>
      </c>
      <c r="H249" s="0" t="n">
        <f aca="false">COSH($E$1*B249*86.4/$G$1)</f>
        <v>1.25140596493706</v>
      </c>
      <c r="I249" s="0" t="n">
        <f aca="false">(($G$1^2*1000)/($E$1*$I$1))*(H249-1)</f>
        <v>0.243792992404639</v>
      </c>
      <c r="J249" s="0" t="n">
        <f aca="false">$J$3*EXP(-$E$1*B249*86.4/$G$1)</f>
        <v>499.065025548506</v>
      </c>
      <c r="K249" s="0" t="n">
        <f aca="false">J248-J249</f>
        <v>1.41199213271364</v>
      </c>
    </row>
    <row r="250" customFormat="false" ht="12.8" hidden="false" customHeight="false" outlineLevel="0" collapsed="false">
      <c r="A250" s="0" t="n">
        <v>1</v>
      </c>
      <c r="B250" s="0" t="n">
        <f aca="false">B249+A250</f>
        <v>247</v>
      </c>
      <c r="C250" s="0" t="n">
        <f aca="false">$C$3+($G$1/($E$1*86.4))*SINH($E$1*B250*86.4/$G$1)</f>
        <v>44871.5414539477</v>
      </c>
      <c r="D250" s="0" t="n">
        <f aca="false">C250-$C$3-B250</f>
        <v>20.541453947706</v>
      </c>
      <c r="E250" s="0" t="n">
        <f aca="false">$E$1*B250*86.4</f>
        <v>209353.248</v>
      </c>
      <c r="F250" s="0" t="n">
        <f aca="false">$G$1*G250</f>
        <v>180899.279102045</v>
      </c>
      <c r="G250" s="0" t="n">
        <f aca="false">TANH($E$1*B250*86.4/$G$1)</f>
        <v>0.602997597006817</v>
      </c>
      <c r="H250" s="0" t="n">
        <f aca="false">COSH($E$1*B250*86.4/$G$1)</f>
        <v>1.25353653606819</v>
      </c>
      <c r="I250" s="0" t="n">
        <f aca="false">(($G$1^2*1000)/($E$1*$I$1))*(H250-1)</f>
        <v>0.245859046452797</v>
      </c>
      <c r="J250" s="0" t="n">
        <f aca="false">$J$3*EXP(-$E$1*B250*86.4/$G$1)</f>
        <v>497.657017058822</v>
      </c>
      <c r="K250" s="0" t="n">
        <f aca="false">J249-J250</f>
        <v>1.40800848968428</v>
      </c>
    </row>
    <row r="251" customFormat="false" ht="12.8" hidden="false" customHeight="false" outlineLevel="0" collapsed="false">
      <c r="A251" s="0" t="n">
        <v>1</v>
      </c>
      <c r="B251" s="0" t="n">
        <f aca="false">B250+A251</f>
        <v>248</v>
      </c>
      <c r="C251" s="0" t="n">
        <f aca="false">$C$3+($G$1/($E$1*86.4))*SINH($E$1*B251*86.4/$G$1)</f>
        <v>44872.7960599378</v>
      </c>
      <c r="D251" s="0" t="n">
        <f aca="false">C251-$C$3-B251</f>
        <v>20.7960599377911</v>
      </c>
      <c r="E251" s="0" t="n">
        <f aca="false">$E$1*B251*86.4</f>
        <v>210200.832</v>
      </c>
      <c r="F251" s="0" t="n">
        <f aca="false">$G$1*G251</f>
        <v>181437.757583051</v>
      </c>
      <c r="G251" s="0" t="n">
        <f aca="false">TANH($E$1*B251*86.4/$G$1)</f>
        <v>0.604792525276838</v>
      </c>
      <c r="H251" s="0" t="n">
        <f aca="false">COSH($E$1*B251*86.4/$G$1)</f>
        <v>1.25567711319418</v>
      </c>
      <c r="I251" s="0" t="n">
        <f aca="false">(($G$1^2*1000)/($E$1*$I$1))*(H251-1)</f>
        <v>0.24793480349838</v>
      </c>
      <c r="J251" s="0" t="n">
        <f aca="false">$J$3*EXP(-$E$1*B251*86.4/$G$1)</f>
        <v>496.252980973144</v>
      </c>
      <c r="K251" s="0" t="n">
        <f aca="false">J250-J251</f>
        <v>1.40403608567777</v>
      </c>
    </row>
    <row r="252" customFormat="false" ht="12.8" hidden="false" customHeight="false" outlineLevel="0" collapsed="false">
      <c r="A252" s="0" t="n">
        <v>1</v>
      </c>
      <c r="B252" s="0" t="n">
        <f aca="false">B251+A252</f>
        <v>249</v>
      </c>
      <c r="C252" s="0" t="n">
        <f aca="false">$C$3+($G$1/($E$1*86.4))*SINH($E$1*B252*86.4/$G$1)</f>
        <v>44874.0528115151</v>
      </c>
      <c r="D252" s="0" t="n">
        <f aca="false">C252-$C$3-B252</f>
        <v>21.0528115151174</v>
      </c>
      <c r="E252" s="0" t="n">
        <f aca="false">$E$1*B252*86.4</f>
        <v>211048.416</v>
      </c>
      <c r="F252" s="0" t="n">
        <f aca="false">$G$1*G252</f>
        <v>181974.399002728</v>
      </c>
      <c r="G252" s="0" t="n">
        <f aca="false">TANH($E$1*B252*86.4/$G$1)</f>
        <v>0.606581330009092</v>
      </c>
      <c r="H252" s="0" t="n">
        <f aca="false">COSH($E$1*B252*86.4/$G$1)</f>
        <v>1.25782771340159</v>
      </c>
      <c r="I252" s="0" t="n">
        <f aca="false">(($G$1^2*1000)/($E$1*$I$1))*(H252-1)</f>
        <v>0.250020280110522</v>
      </c>
      <c r="J252" s="0" t="n">
        <f aca="false">$J$3*EXP(-$E$1*B252*86.4/$G$1)</f>
        <v>494.852906084159</v>
      </c>
      <c r="K252" s="0" t="n">
        <f aca="false">J251-J252</f>
        <v>1.40007488898544</v>
      </c>
    </row>
    <row r="253" customFormat="false" ht="12.8" hidden="false" customHeight="false" outlineLevel="0" collapsed="false">
      <c r="A253" s="0" t="n">
        <v>1</v>
      </c>
      <c r="B253" s="0" t="n">
        <f aca="false">B252+A253</f>
        <v>250</v>
      </c>
      <c r="C253" s="0" t="n">
        <f aca="false">$C$3+($G$1/($E$1*86.4))*SINH($E$1*B253*86.4/$G$1)</f>
        <v>44875.3117187113</v>
      </c>
      <c r="D253" s="0" t="n">
        <f aca="false">C253-$C$3-B253</f>
        <v>21.3117187113385</v>
      </c>
      <c r="E253" s="0" t="n">
        <f aca="false">$E$1*B253*86.4</f>
        <v>211896</v>
      </c>
      <c r="F253" s="0" t="n">
        <f aca="false">$G$1*G253</f>
        <v>182509.204222646</v>
      </c>
      <c r="G253" s="0" t="n">
        <f aca="false">TANH($E$1*B253*86.4/$G$1)</f>
        <v>0.608364014075487</v>
      </c>
      <c r="H253" s="0" t="n">
        <f aca="false">COSH($E$1*B253*86.4/$G$1)</f>
        <v>1.25998835385695</v>
      </c>
      <c r="I253" s="0" t="n">
        <f aca="false">(($G$1^2*1000)/($E$1*$I$1))*(H253-1)</f>
        <v>0.252115492935941</v>
      </c>
      <c r="J253" s="0" t="n">
        <f aca="false">$J$3*EXP(-$E$1*B253*86.4/$G$1)</f>
        <v>493.45678121617</v>
      </c>
      <c r="K253" s="0" t="n">
        <f aca="false">J252-J253</f>
        <v>1.39612486798819</v>
      </c>
    </row>
    <row r="254" customFormat="false" ht="12.8" hidden="false" customHeight="false" outlineLevel="0" collapsed="false">
      <c r="A254" s="0" t="n">
        <v>1</v>
      </c>
      <c r="B254" s="0" t="n">
        <f aca="false">B253+A254</f>
        <v>251</v>
      </c>
      <c r="C254" s="0" t="n">
        <f aca="false">$C$3+($G$1/($E$1*86.4))*SINH($E$1*B254*86.4/$G$1)</f>
        <v>44876.5727915753</v>
      </c>
      <c r="D254" s="0" t="n">
        <f aca="false">C254-$C$3-B254</f>
        <v>21.5727915753305</v>
      </c>
      <c r="E254" s="0" t="n">
        <f aca="false">$E$1*B254*86.4</f>
        <v>212743.584</v>
      </c>
      <c r="F254" s="0" t="n">
        <f aca="false">$G$1*G254</f>
        <v>183042.174156921</v>
      </c>
      <c r="G254" s="0" t="n">
        <f aca="false">TANH($E$1*B254*86.4/$G$1)</f>
        <v>0.610140580523069</v>
      </c>
      <c r="H254" s="0" t="n">
        <f aca="false">COSH($E$1*B254*86.4/$G$1)</f>
        <v>1.26215905180696</v>
      </c>
      <c r="I254" s="0" t="n">
        <f aca="false">(($G$1^2*1000)/($E$1*$I$1))*(H254-1)</f>
        <v>0.254220458699071</v>
      </c>
      <c r="J254" s="0" t="n">
        <f aca="false">$J$3*EXP(-$E$1*B254*86.4/$G$1)</f>
        <v>492.064595225014</v>
      </c>
      <c r="K254" s="0" t="n">
        <f aca="false">J253-J254</f>
        <v>1.39218599115628</v>
      </c>
    </row>
    <row r="255" customFormat="false" ht="12.8" hidden="false" customHeight="false" outlineLevel="0" collapsed="false">
      <c r="A255" s="0" t="n">
        <v>1</v>
      </c>
      <c r="B255" s="0" t="n">
        <f aca="false">B254+A255</f>
        <v>252</v>
      </c>
      <c r="C255" s="0" t="n">
        <f aca="false">$C$3+($G$1/($E$1*86.4))*SINH($E$1*B255*86.4/$G$1)</f>
        <v>44877.8360401732</v>
      </c>
      <c r="D255" s="0" t="n">
        <f aca="false">C255-$C$3-B255</f>
        <v>21.836040173228</v>
      </c>
      <c r="E255" s="0" t="n">
        <f aca="false">$E$1*B255*86.4</f>
        <v>213591.168</v>
      </c>
      <c r="F255" s="0" t="n">
        <f aca="false">$G$1*G255</f>
        <v>183573.309771799</v>
      </c>
      <c r="G255" s="0" t="n">
        <f aca="false">TANH($E$1*B255*86.4/$G$1)</f>
        <v>0.611911032572662</v>
      </c>
      <c r="H255" s="0" t="n">
        <f aca="false">COSH($E$1*B255*86.4/$G$1)</f>
        <v>1.26433982457859</v>
      </c>
      <c r="I255" s="0" t="n">
        <f aca="false">(($G$1^2*1000)/($E$1*$I$1))*(H255-1)</f>
        <v>0.256335194202195</v>
      </c>
      <c r="J255" s="0" t="n">
        <f aca="false">$J$3*EXP(-$E$1*B255*86.4/$G$1)</f>
        <v>490.676336997965</v>
      </c>
      <c r="K255" s="0" t="n">
        <f aca="false">J254-J255</f>
        <v>1.3882582270486</v>
      </c>
    </row>
    <row r="256" customFormat="false" ht="12.8" hidden="false" customHeight="false" outlineLevel="0" collapsed="false">
      <c r="A256" s="0" t="n">
        <v>1</v>
      </c>
      <c r="B256" s="0" t="n">
        <f aca="false">B255+A256</f>
        <v>253</v>
      </c>
      <c r="C256" s="0" t="n">
        <f aca="false">$C$3+($G$1/($E$1*86.4))*SINH($E$1*B256*86.4/$G$1)</f>
        <v>44879.1014745886</v>
      </c>
      <c r="D256" s="0" t="n">
        <f aca="false">C256-$C$3-B256</f>
        <v>22.1014745885623</v>
      </c>
      <c r="E256" s="0" t="n">
        <f aca="false">$E$1*B256*86.4</f>
        <v>214438.752</v>
      </c>
      <c r="F256" s="0" t="n">
        <f aca="false">$G$1*G256</f>
        <v>184102.612085253</v>
      </c>
      <c r="G256" s="0" t="n">
        <f aca="false">TANH($E$1*B256*86.4/$G$1)</f>
        <v>0.613675373617508</v>
      </c>
      <c r="H256" s="0" t="n">
        <f aca="false">COSH($E$1*B256*86.4/$G$1)</f>
        <v>1.26653068957922</v>
      </c>
      <c r="I256" s="0" t="n">
        <f aca="false">(($G$1^2*1000)/($E$1*$I$1))*(H256-1)</f>
        <v>0.258459716325581</v>
      </c>
      <c r="J256" s="0" t="n">
        <f aca="false">$J$3*EXP(-$E$1*B256*86.4/$G$1)</f>
        <v>489.291995453653</v>
      </c>
      <c r="K256" s="0" t="n">
        <f aca="false">J255-J256</f>
        <v>1.3843415443128</v>
      </c>
    </row>
    <row r="257" customFormat="false" ht="12.8" hidden="false" customHeight="false" outlineLevel="0" collapsed="false">
      <c r="A257" s="0" t="n">
        <v>1</v>
      </c>
      <c r="B257" s="0" t="n">
        <f aca="false">B256+A257</f>
        <v>254</v>
      </c>
      <c r="C257" s="0" t="n">
        <f aca="false">$C$3+($G$1/($E$1*86.4))*SINH($E$1*B257*86.4/$G$1)</f>
        <v>44880.3691049223</v>
      </c>
      <c r="D257" s="0" t="n">
        <f aca="false">C257-$C$3-B257</f>
        <v>22.3691049222907</v>
      </c>
      <c r="E257" s="0" t="n">
        <f aca="false">$E$1*B257*86.4</f>
        <v>215286.336</v>
      </c>
      <c r="F257" s="0" t="n">
        <f aca="false">$G$1*G257</f>
        <v>184630.082166574</v>
      </c>
      <c r="G257" s="0" t="n">
        <f aca="false">TANH($E$1*B257*86.4/$G$1)</f>
        <v>0.615433607221913</v>
      </c>
      <c r="H257" s="0" t="n">
        <f aca="false">COSH($E$1*B257*86.4/$G$1)</f>
        <v>1.26873166429682</v>
      </c>
      <c r="I257" s="0" t="n">
        <f aca="false">(($G$1^2*1000)/($E$1*$I$1))*(H257-1)</f>
        <v>0.260594042027616</v>
      </c>
      <c r="J257" s="0" t="n">
        <f aca="false">$J$3*EXP(-$E$1*B257*86.4/$G$1)</f>
        <v>487.911559541967</v>
      </c>
      <c r="K257" s="0" t="n">
        <f aca="false">J256-J257</f>
        <v>1.38043591168542</v>
      </c>
    </row>
    <row r="258" customFormat="false" ht="12.8" hidden="false" customHeight="false" outlineLevel="0" collapsed="false">
      <c r="A258" s="0" t="n">
        <v>1</v>
      </c>
      <c r="B258" s="0" t="n">
        <f aca="false">B257+A258</f>
        <v>255</v>
      </c>
      <c r="C258" s="0" t="n">
        <f aca="false">$C$3+($G$1/($E$1*86.4))*SINH($E$1*B258*86.4/$G$1)</f>
        <v>44881.6389412929</v>
      </c>
      <c r="D258" s="0" t="n">
        <f aca="false">C258-$C$3-B258</f>
        <v>22.6389412929129</v>
      </c>
      <c r="E258" s="0" t="n">
        <f aca="false">$E$1*B258*86.4</f>
        <v>216133.92</v>
      </c>
      <c r="F258" s="0" t="n">
        <f aca="false">$G$1*G258</f>
        <v>185155.721135961</v>
      </c>
      <c r="G258" s="0" t="n">
        <f aca="false">TANH($E$1*B258*86.4/$G$1)</f>
        <v>0.617185737119871</v>
      </c>
      <c r="H258" s="0" t="n">
        <f aca="false">COSH($E$1*B258*86.4/$G$1)</f>
        <v>1.27094276630003</v>
      </c>
      <c r="I258" s="0" t="n">
        <f aca="false">(($G$1^2*1000)/($E$1*$I$1))*(H258-1)</f>
        <v>0.262738188344941</v>
      </c>
      <c r="J258" s="0" t="n">
        <f aca="false">$J$3*EXP(-$E$1*B258*86.4/$G$1)</f>
        <v>486.535018243977</v>
      </c>
      <c r="K258" s="0" t="n">
        <f aca="false">J257-J258</f>
        <v>1.37654129799051</v>
      </c>
    </row>
    <row r="259" customFormat="false" ht="12.8" hidden="false" customHeight="false" outlineLevel="0" collapsed="false">
      <c r="A259" s="0" t="n">
        <v>1</v>
      </c>
      <c r="B259" s="0" t="n">
        <f aca="false">B258+A259</f>
        <v>256</v>
      </c>
      <c r="C259" s="0" t="n">
        <f aca="false">$C$3+($G$1/($E$1*86.4))*SINH($E$1*B259*86.4/$G$1)</f>
        <v>44882.9109938365</v>
      </c>
      <c r="D259" s="0" t="n">
        <f aca="false">C259-$C$3-B259</f>
        <v>22.9109938365364</v>
      </c>
      <c r="E259" s="0" t="n">
        <f aca="false">$E$1*B259*86.4</f>
        <v>216981.504</v>
      </c>
      <c r="F259" s="0" t="n">
        <f aca="false">$G$1*G259</f>
        <v>185679.530164111</v>
      </c>
      <c r="G259" s="0" t="n">
        <f aca="false">TANH($E$1*B259*86.4/$G$1)</f>
        <v>0.618931767213705</v>
      </c>
      <c r="H259" s="0" t="n">
        <f aca="false">COSH($E$1*B259*86.4/$G$1)</f>
        <v>1.27316401323833</v>
      </c>
      <c r="I259" s="0" t="n">
        <f aca="false">(($G$1^2*1000)/($E$1*$I$1))*(H259-1)</f>
        <v>0.264892172392587</v>
      </c>
      <c r="J259" s="0" t="n">
        <f aca="false">$J$3*EXP(-$E$1*B259*86.4/$G$1)</f>
        <v>485.162360571836</v>
      </c>
      <c r="K259" s="0" t="n">
        <f aca="false">J258-J259</f>
        <v>1.37265767214063</v>
      </c>
    </row>
    <row r="260" customFormat="false" ht="12.8" hidden="false" customHeight="false" outlineLevel="0" collapsed="false">
      <c r="A260" s="0" t="n">
        <v>1</v>
      </c>
      <c r="B260" s="0" t="n">
        <f aca="false">B259+A260</f>
        <v>257</v>
      </c>
      <c r="C260" s="0" t="n">
        <f aca="false">$C$3+($G$1/($E$1*86.4))*SINH($E$1*B260*86.4/$G$1)</f>
        <v>44884.185272707</v>
      </c>
      <c r="D260" s="0" t="n">
        <f aca="false">C260-$C$3-B260</f>
        <v>23.185272706949</v>
      </c>
      <c r="E260" s="0" t="n">
        <f aca="false">$E$1*B260*86.4</f>
        <v>217829.088</v>
      </c>
      <c r="F260" s="0" t="n">
        <f aca="false">$G$1*G260</f>
        <v>186201.510471808</v>
      </c>
      <c r="G260" s="0" t="n">
        <f aca="false">TANH($E$1*B260*86.4/$G$1)</f>
        <v>0.620671701572693</v>
      </c>
      <c r="H260" s="0" t="n">
        <f aca="false">COSH($E$1*B260*86.4/$G$1)</f>
        <v>1.27539542284218</v>
      </c>
      <c r="I260" s="0" t="n">
        <f aca="false">(($G$1^2*1000)/($E$1*$I$1))*(H260-1)</f>
        <v>0.267056011364113</v>
      </c>
      <c r="J260" s="0" t="n">
        <f aca="false">$J$3*EXP(-$E$1*B260*86.4/$G$1)</f>
        <v>483.7935755687</v>
      </c>
      <c r="K260" s="0" t="n">
        <f aca="false">J259-J260</f>
        <v>1.36878500313583</v>
      </c>
    </row>
    <row r="261" customFormat="false" ht="12.8" hidden="false" customHeight="false" outlineLevel="0" collapsed="false">
      <c r="A261" s="0" t="n">
        <v>1</v>
      </c>
      <c r="B261" s="0" t="n">
        <f aca="false">B260+A261</f>
        <v>258</v>
      </c>
      <c r="C261" s="0" t="n">
        <f aca="false">$C$3+($G$1/($E$1*86.4))*SINH($E$1*B261*86.4/$G$1)</f>
        <v>44885.4617880757</v>
      </c>
      <c r="D261" s="0" t="n">
        <f aca="false">C261-$C$3-B261</f>
        <v>23.4617880757141</v>
      </c>
      <c r="E261" s="0" t="n">
        <f aca="false">$E$1*B261*86.4</f>
        <v>218676.672</v>
      </c>
      <c r="F261" s="0" t="n">
        <f aca="false">$G$1*G261</f>
        <v>186721.663329511</v>
      </c>
      <c r="G261" s="0" t="n">
        <f aca="false">TANH($E$1*B261*86.4/$G$1)</f>
        <v>0.622405544431702</v>
      </c>
      <c r="H261" s="0" t="n">
        <f aca="false">COSH($E$1*B261*86.4/$G$1)</f>
        <v>1.27763701292318</v>
      </c>
      <c r="I261" s="0" t="n">
        <f aca="false">(($G$1^2*1000)/($E$1*$I$1))*(H261-1)</f>
        <v>0.269229722531741</v>
      </c>
      <c r="J261" s="0" t="n">
        <f aca="false">$J$3*EXP(-$E$1*B261*86.4/$G$1)</f>
        <v>482.428652308636</v>
      </c>
      <c r="K261" s="0" t="n">
        <f aca="false">J260-J261</f>
        <v>1.36492326006385</v>
      </c>
    </row>
    <row r="262" customFormat="false" ht="12.8" hidden="false" customHeight="false" outlineLevel="0" collapsed="false">
      <c r="A262" s="0" t="n">
        <v>1</v>
      </c>
      <c r="B262" s="0" t="n">
        <f aca="false">B261+A262</f>
        <v>259</v>
      </c>
      <c r="C262" s="0" t="n">
        <f aca="false">$C$3+($G$1/($E$1*86.4))*SINH($E$1*B262*86.4/$G$1)</f>
        <v>44886.7405501323</v>
      </c>
      <c r="D262" s="0" t="n">
        <f aca="false">C262-$C$3-B262</f>
        <v>23.7405501322501</v>
      </c>
      <c r="E262" s="0" t="n">
        <f aca="false">$E$1*B262*86.4</f>
        <v>219524.256</v>
      </c>
      <c r="F262" s="0" t="n">
        <f aca="false">$G$1*G262</f>
        <v>187239.990056942</v>
      </c>
      <c r="G262" s="0" t="n">
        <f aca="false">TANH($E$1*B262*86.4/$G$1)</f>
        <v>0.624133300189806</v>
      </c>
      <c r="H262" s="0" t="n">
        <f aca="false">COSH($E$1*B262*86.4/$G$1)</f>
        <v>1.27988880137418</v>
      </c>
      <c r="I262" s="0" t="n">
        <f aca="false">(($G$1^2*1000)/($E$1*$I$1))*(H262-1)</f>
        <v>0.271413323246495</v>
      </c>
      <c r="J262" s="0" t="n">
        <f aca="false">$J$3*EXP(-$E$1*B262*86.4/$G$1)</f>
        <v>481.067579896538</v>
      </c>
      <c r="K262" s="0" t="n">
        <f aca="false">J261-J262</f>
        <v>1.36107241209891</v>
      </c>
    </row>
    <row r="263" customFormat="false" ht="12.8" hidden="false" customHeight="false" outlineLevel="0" collapsed="false">
      <c r="A263" s="0" t="n">
        <v>1</v>
      </c>
      <c r="B263" s="0" t="n">
        <f aca="false">B262+A263</f>
        <v>260</v>
      </c>
      <c r="C263" s="0" t="n">
        <f aca="false">$C$3+($G$1/($E$1*86.4))*SINH($E$1*B263*86.4/$G$1)</f>
        <v>44888.0215690839</v>
      </c>
      <c r="D263" s="0" t="n">
        <f aca="false">C263-$C$3-B263</f>
        <v>24.0215690839104</v>
      </c>
      <c r="E263" s="0" t="n">
        <f aca="false">$E$1*B263*86.4</f>
        <v>220371.84</v>
      </c>
      <c r="F263" s="0" t="n">
        <f aca="false">$G$1*G263</f>
        <v>187756.492022675</v>
      </c>
      <c r="G263" s="0" t="n">
        <f aca="false">TANH($E$1*B263*86.4/$G$1)</f>
        <v>0.625854973408918</v>
      </c>
      <c r="H263" s="0" t="n">
        <f aca="false">COSH($E$1*B263*86.4/$G$1)</f>
        <v>1.28215080616942</v>
      </c>
      <c r="I263" s="0" t="n">
        <f aca="false">(($G$1^2*1000)/($E$1*$I$1))*(H263-1)</f>
        <v>0.273606830938339</v>
      </c>
      <c r="J263" s="0" t="n">
        <f aca="false">$J$3*EXP(-$E$1*B263*86.4/$G$1)</f>
        <v>479.710347468034</v>
      </c>
      <c r="K263" s="0" t="n">
        <f aca="false">J262-J263</f>
        <v>1.35723242850321</v>
      </c>
    </row>
    <row r="264" customFormat="false" ht="12.8" hidden="false" customHeight="false" outlineLevel="0" collapsed="false">
      <c r="A264" s="0" t="n">
        <v>1</v>
      </c>
      <c r="B264" s="0" t="n">
        <f aca="false">B263+A264</f>
        <v>261</v>
      </c>
      <c r="C264" s="0" t="n">
        <f aca="false">$C$3+($G$1/($E$1*86.4))*SINH($E$1*B264*86.4/$G$1)</f>
        <v>44889.3048551561</v>
      </c>
      <c r="D264" s="0" t="n">
        <f aca="false">C264-$C$3-B264</f>
        <v>24.3048551560569</v>
      </c>
      <c r="E264" s="0" t="n">
        <f aca="false">$E$1*B264*86.4</f>
        <v>221219.424</v>
      </c>
      <c r="F264" s="0" t="n">
        <f aca="false">$G$1*G264</f>
        <v>188271.170643723</v>
      </c>
      <c r="G264" s="0" t="n">
        <f aca="false">TANH($E$1*B264*86.4/$G$1)</f>
        <v>0.62757056881241</v>
      </c>
      <c r="H264" s="0" t="n">
        <f aca="false">COSH($E$1*B264*86.4/$G$1)</f>
        <v>1.2844230453647</v>
      </c>
      <c r="I264" s="0" t="n">
        <f aca="false">(($G$1^2*1000)/($E$1*$I$1))*(H264-1)</f>
        <v>0.275810263116318</v>
      </c>
      <c r="J264" s="0" t="n">
        <f aca="false">$J$3*EXP(-$E$1*B264*86.4/$G$1)</f>
        <v>478.356944189409</v>
      </c>
      <c r="K264" s="0" t="n">
        <f aca="false">J263-J264</f>
        <v>1.35340327862502</v>
      </c>
    </row>
    <row r="265" customFormat="false" ht="12.8" hidden="false" customHeight="false" outlineLevel="0" collapsed="false">
      <c r="A265" s="0" t="n">
        <v>1</v>
      </c>
      <c r="B265" s="0" t="n">
        <f aca="false">B264+A265</f>
        <v>262</v>
      </c>
      <c r="C265" s="0" t="n">
        <f aca="false">$C$3+($G$1/($E$1*86.4))*SINH($E$1*B265*86.4/$G$1)</f>
        <v>44890.5904185921</v>
      </c>
      <c r="D265" s="0" t="n">
        <f aca="false">C265-$C$3-B265</f>
        <v>24.5904185921463</v>
      </c>
      <c r="E265" s="0" t="n">
        <f aca="false">$E$1*B265*86.4</f>
        <v>222067.008</v>
      </c>
      <c r="F265" s="0" t="n">
        <f aca="false">$G$1*G265</f>
        <v>188784.027385121</v>
      </c>
      <c r="G265" s="0" t="n">
        <f aca="false">TANH($E$1*B265*86.4/$G$1)</f>
        <v>0.629280091283736</v>
      </c>
      <c r="H265" s="0" t="n">
        <f aca="false">COSH($E$1*B265*86.4/$G$1)</f>
        <v>1.28670553709754</v>
      </c>
      <c r="I265" s="0" t="n">
        <f aca="false">(($G$1^2*1000)/($E$1*$I$1))*(H265-1)</f>
        <v>0.278023637368696</v>
      </c>
      <c r="J265" s="0" t="n">
        <f aca="false">$J$3*EXP(-$E$1*B265*86.4/$G$1)</f>
        <v>477.00735925751</v>
      </c>
      <c r="K265" s="0" t="n">
        <f aca="false">J264-J265</f>
        <v>1.34958493189919</v>
      </c>
    </row>
    <row r="266" customFormat="false" ht="12.8" hidden="false" customHeight="false" outlineLevel="0" collapsed="false">
      <c r="A266" s="0" t="n">
        <v>1</v>
      </c>
      <c r="B266" s="0" t="n">
        <f aca="false">B265+A266</f>
        <v>263</v>
      </c>
      <c r="C266" s="0" t="n">
        <f aca="false">$C$3+($G$1/($E$1*86.4))*SINH($E$1*B266*86.4/$G$1)</f>
        <v>44891.8782696538</v>
      </c>
      <c r="D266" s="0" t="n">
        <f aca="false">C266-$C$3-B266</f>
        <v>24.8782696538328</v>
      </c>
      <c r="E266" s="0" t="n">
        <f aca="false">$E$1*B266*86.4</f>
        <v>222914.592</v>
      </c>
      <c r="F266" s="0" t="n">
        <f aca="false">$G$1*G266</f>
        <v>189295.063759516</v>
      </c>
      <c r="G266" s="0" t="n">
        <f aca="false">TANH($E$1*B266*86.4/$G$1)</f>
        <v>0.630983545865052</v>
      </c>
      <c r="H266" s="0" t="n">
        <f aca="false">COSH($E$1*B266*86.4/$G$1)</f>
        <v>1.28899829958725</v>
      </c>
      <c r="I266" s="0" t="n">
        <f aca="false">(($G$1^2*1000)/($E$1*$I$1))*(H266-1)</f>
        <v>0.280246971363096</v>
      </c>
      <c r="J266" s="0" t="n">
        <f aca="false">$J$3*EXP(-$E$1*B266*86.4/$G$1)</f>
        <v>475.661581899663</v>
      </c>
      <c r="K266" s="0" t="n">
        <f aca="false">J265-J266</f>
        <v>1.34577735784694</v>
      </c>
    </row>
    <row r="267" customFormat="false" ht="12.8" hidden="false" customHeight="false" outlineLevel="0" collapsed="false">
      <c r="A267" s="0" t="n">
        <v>1</v>
      </c>
      <c r="B267" s="0" t="n">
        <f aca="false">B266+A267</f>
        <v>264</v>
      </c>
      <c r="C267" s="0" t="n">
        <f aca="false">$C$3+($G$1/($E$1*86.4))*SINH($E$1*B267*86.4/$G$1)</f>
        <v>44893.168418621</v>
      </c>
      <c r="D267" s="0" t="n">
        <f aca="false">C267-$C$3-B267</f>
        <v>25.1684186210114</v>
      </c>
      <c r="E267" s="0" t="n">
        <f aca="false">$E$1*B267*86.4</f>
        <v>223762.176</v>
      </c>
      <c r="F267" s="0" t="n">
        <f aca="false">$G$1*G267</f>
        <v>189804.28132675</v>
      </c>
      <c r="G267" s="0" t="n">
        <f aca="false">TANH($E$1*B267*86.4/$G$1)</f>
        <v>0.632680937755834</v>
      </c>
      <c r="H267" s="0" t="n">
        <f aca="false">COSH($E$1*B267*86.4/$G$1)</f>
        <v>1.29130135113515</v>
      </c>
      <c r="I267" s="0" t="n">
        <f aca="false">(($G$1^2*1000)/($E$1*$I$1))*(H267-1)</f>
        <v>0.282480282846641</v>
      </c>
      <c r="J267" s="0" t="n">
        <f aca="false">$J$3*EXP(-$E$1*B267*86.4/$G$1)</f>
        <v>474.319601373588</v>
      </c>
      <c r="K267" s="0" t="n">
        <f aca="false">J266-J267</f>
        <v>1.3419805260753</v>
      </c>
    </row>
    <row r="268" customFormat="false" ht="12.8" hidden="false" customHeight="false" outlineLevel="0" collapsed="false">
      <c r="A268" s="0" t="n">
        <v>1</v>
      </c>
      <c r="B268" s="0" t="n">
        <f aca="false">B267+A268</f>
        <v>265</v>
      </c>
      <c r="C268" s="0" t="n">
        <f aca="false">$C$3+($G$1/($E$1*86.4))*SINH($E$1*B268*86.4/$G$1)</f>
        <v>44894.4608757919</v>
      </c>
      <c r="D268" s="0" t="n">
        <f aca="false">C268-$C$3-B268</f>
        <v>25.4608757919195</v>
      </c>
      <c r="E268" s="0" t="n">
        <f aca="false">$E$1*B268*86.4</f>
        <v>224609.76</v>
      </c>
      <c r="F268" s="0" t="n">
        <f aca="false">$G$1*G268</f>
        <v>190311.68169345</v>
      </c>
      <c r="G268" s="0" t="n">
        <f aca="false">TANH($E$1*B268*86.4/$G$1)</f>
        <v>0.6343722723115</v>
      </c>
      <c r="H268" s="0" t="n">
        <f aca="false">COSH($E$1*B268*86.4/$G$1)</f>
        <v>1.2936147101247</v>
      </c>
      <c r="I268" s="0" t="n">
        <f aca="false">(($G$1^2*1000)/($E$1*$I$1))*(H268-1)</f>
        <v>0.2847235896461</v>
      </c>
      <c r="J268" s="0" t="n">
        <f aca="false">$J$3*EXP(-$E$1*B268*86.4/$G$1)</f>
        <v>472.98140696731</v>
      </c>
      <c r="K268" s="0" t="n">
        <f aca="false">J267-J268</f>
        <v>1.33819440627741</v>
      </c>
    </row>
    <row r="269" customFormat="false" ht="12.8" hidden="false" customHeight="false" outlineLevel="0" collapsed="false">
      <c r="A269" s="0" t="n">
        <v>1</v>
      </c>
      <c r="B269" s="0" t="n">
        <f aca="false">B268+A269</f>
        <v>266</v>
      </c>
      <c r="C269" s="0" t="n">
        <f aca="false">$C$3+($G$1/($E$1*86.4))*SINH($E$1*B269*86.4/$G$1)</f>
        <v>44895.7556514832</v>
      </c>
      <c r="D269" s="0" t="n">
        <f aca="false">C269-$C$3-B269</f>
        <v>25.7556514832249</v>
      </c>
      <c r="E269" s="0" t="n">
        <f aca="false">$E$1*B269*86.4</f>
        <v>225457.344</v>
      </c>
      <c r="F269" s="0" t="n">
        <f aca="false">$G$1*G269</f>
        <v>190817.266512607</v>
      </c>
      <c r="G269" s="0" t="n">
        <f aca="false">TANH($E$1*B269*86.4/$G$1)</f>
        <v>0.636057555042024</v>
      </c>
      <c r="H269" s="0" t="n">
        <f aca="false">COSH($E$1*B269*86.4/$G$1)</f>
        <v>1.29593839502161</v>
      </c>
      <c r="I269" s="0" t="n">
        <f aca="false">(($G$1^2*1000)/($E$1*$I$1))*(H269-1)</f>
        <v>0.286976909668022</v>
      </c>
      <c r="J269" s="0" t="n">
        <f aca="false">$J$3*EXP(-$E$1*B269*86.4/$G$1)</f>
        <v>471.646987999079</v>
      </c>
      <c r="K269" s="0" t="n">
        <f aca="false">J268-J269</f>
        <v>1.33441896823143</v>
      </c>
    </row>
    <row r="270" customFormat="false" ht="12.8" hidden="false" customHeight="false" outlineLevel="0" collapsed="false">
      <c r="A270" s="0" t="n">
        <v>1</v>
      </c>
      <c r="B270" s="0" t="n">
        <f aca="false">B269+A270</f>
        <v>267</v>
      </c>
      <c r="C270" s="0" t="n">
        <f aca="false">$C$3+($G$1/($E$1*86.4))*SINH($E$1*B270*86.4/$G$1)</f>
        <v>44897.0527560301</v>
      </c>
      <c r="D270" s="0" t="n">
        <f aca="false">C270-$C$3-B270</f>
        <v>26.0527560301125</v>
      </c>
      <c r="E270" s="0" t="n">
        <f aca="false">$E$1*B270*86.4</f>
        <v>226304.928</v>
      </c>
      <c r="F270" s="0" t="n">
        <f aca="false">$G$1*G270</f>
        <v>191321.037483167</v>
      </c>
      <c r="G270" s="0" t="n">
        <f aca="false">TANH($E$1*B270*86.4/$G$1)</f>
        <v>0.637736791610556</v>
      </c>
      <c r="H270" s="0" t="n">
        <f aca="false">COSH($E$1*B270*86.4/$G$1)</f>
        <v>1.29827242437403</v>
      </c>
      <c r="I270" s="0" t="n">
        <f aca="false">(($G$1^2*1000)/($E$1*$I$1))*(H270-1)</f>
        <v>0.289240260898887</v>
      </c>
      <c r="J270" s="0" t="n">
        <f aca="false">$J$3*EXP(-$E$1*B270*86.4/$G$1)</f>
        <v>470.316333817278</v>
      </c>
      <c r="K270" s="0" t="n">
        <f aca="false">J269-J270</f>
        <v>1.33065418180098</v>
      </c>
    </row>
    <row r="271" customFormat="false" ht="12.8" hidden="false" customHeight="false" outlineLevel="0" collapsed="false">
      <c r="A271" s="0" t="n">
        <v>1</v>
      </c>
      <c r="B271" s="0" t="n">
        <f aca="false">B270+A271</f>
        <v>268</v>
      </c>
      <c r="C271" s="0" t="n">
        <f aca="false">$C$3+($G$1/($E$1*86.4))*SINH($E$1*B271*86.4/$G$1)</f>
        <v>44898.3521997863</v>
      </c>
      <c r="D271" s="0" t="n">
        <f aca="false">C271-$C$3-B271</f>
        <v>26.3521997863354</v>
      </c>
      <c r="E271" s="0" t="n">
        <f aca="false">$E$1*B271*86.4</f>
        <v>227152.512</v>
      </c>
      <c r="F271" s="0" t="n">
        <f aca="false">$G$1*G271</f>
        <v>191822.996349611</v>
      </c>
      <c r="G271" s="0" t="n">
        <f aca="false">TANH($E$1*B271*86.4/$G$1)</f>
        <v>0.639409987832036</v>
      </c>
      <c r="H271" s="0" t="n">
        <f aca="false">COSH($E$1*B271*86.4/$G$1)</f>
        <v>1.30061681681268</v>
      </c>
      <c r="I271" s="0" t="n">
        <f aca="false">(($G$1^2*1000)/($E$1*$I$1))*(H271-1)</f>
        <v>0.291513661405246</v>
      </c>
      <c r="J271" s="0" t="n">
        <f aca="false">$J$3*EXP(-$E$1*B271*86.4/$G$1)</f>
        <v>468.989433800343</v>
      </c>
      <c r="K271" s="0" t="n">
        <f aca="false">J270-J271</f>
        <v>1.32690001693493</v>
      </c>
    </row>
    <row r="272" customFormat="false" ht="12.8" hidden="false" customHeight="false" outlineLevel="0" collapsed="false">
      <c r="A272" s="0" t="n">
        <v>1</v>
      </c>
      <c r="B272" s="0" t="n">
        <f aca="false">B271+A272</f>
        <v>269</v>
      </c>
      <c r="C272" s="0" t="n">
        <f aca="false">$C$3+($G$1/($E$1*86.4))*SINH($E$1*B272*86.4/$G$1)</f>
        <v>44899.6539931243</v>
      </c>
      <c r="D272" s="0" t="n">
        <f aca="false">C272-$C$3-B272</f>
        <v>26.6539931243315</v>
      </c>
      <c r="E272" s="0" t="n">
        <f aca="false">$E$1*B272*86.4</f>
        <v>228000.096</v>
      </c>
      <c r="F272" s="0" t="n">
        <f aca="false">$G$1*G272</f>
        <v>192323.144901544</v>
      </c>
      <c r="G272" s="0" t="n">
        <f aca="false">TANH($E$1*B272*86.4/$G$1)</f>
        <v>0.641077149671813</v>
      </c>
      <c r="H272" s="0" t="n">
        <f aca="false">COSH($E$1*B272*86.4/$G$1)</f>
        <v>1.302971591051</v>
      </c>
      <c r="I272" s="0" t="n">
        <f aca="false">(($G$1^2*1000)/($E$1*$I$1))*(H272-1)</f>
        <v>0.293797129333863</v>
      </c>
      <c r="J272" s="0" t="n">
        <f aca="false">$J$3*EXP(-$E$1*B272*86.4/$G$1)</f>
        <v>467.666277356676</v>
      </c>
      <c r="K272" s="0" t="n">
        <f aca="false">J271-J272</f>
        <v>1.32315644366668</v>
      </c>
    </row>
    <row r="273" customFormat="false" ht="12.8" hidden="false" customHeight="false" outlineLevel="0" collapsed="false">
      <c r="A273" s="0" t="n">
        <v>1</v>
      </c>
      <c r="B273" s="0" t="n">
        <f aca="false">B272+A273</f>
        <v>270</v>
      </c>
      <c r="C273" s="0" t="n">
        <f aca="false">$C$3+($G$1/($E$1*86.4))*SINH($E$1*B273*86.4/$G$1)</f>
        <v>44900.9581464353</v>
      </c>
      <c r="D273" s="0" t="n">
        <f aca="false">C273-$C$3-B273</f>
        <v>26.9581464353032</v>
      </c>
      <c r="E273" s="0" t="n">
        <f aca="false">$E$1*B273*86.4</f>
        <v>228847.68</v>
      </c>
      <c r="F273" s="0" t="n">
        <f aca="false">$G$1*G273</f>
        <v>192821.484973278</v>
      </c>
      <c r="G273" s="0" t="n">
        <f aca="false">TANH($E$1*B273*86.4/$G$1)</f>
        <v>0.642738283244262</v>
      </c>
      <c r="H273" s="0" t="n">
        <f aca="false">COSH($E$1*B273*86.4/$G$1)</f>
        <v>1.30533676588529</v>
      </c>
      <c r="I273" s="0" t="n">
        <f aca="false">(($G$1^2*1000)/($E$1*$I$1))*(H273-1)</f>
        <v>0.296090682911866</v>
      </c>
      <c r="J273" s="0" t="n">
        <f aca="false">$J$3*EXP(-$E$1*B273*86.4/$G$1)</f>
        <v>466.346853924562</v>
      </c>
      <c r="K273" s="0" t="n">
        <f aca="false">J272-J273</f>
        <v>1.31942343211398</v>
      </c>
    </row>
    <row r="274" customFormat="false" ht="12.8" hidden="false" customHeight="false" outlineLevel="0" collapsed="false">
      <c r="A274" s="0" t="n">
        <v>1</v>
      </c>
      <c r="B274" s="0" t="n">
        <f aca="false">B273+A274</f>
        <v>271</v>
      </c>
      <c r="C274" s="0" t="n">
        <f aca="false">$C$3+($G$1/($E$1*86.4))*SINH($E$1*B274*86.4/$G$1)</f>
        <v>44902.2646701293</v>
      </c>
      <c r="D274" s="0" t="n">
        <f aca="false">C274-$C$3-B274</f>
        <v>27.2646701292615</v>
      </c>
      <c r="E274" s="0" t="n">
        <f aca="false">$E$1*B274*86.4</f>
        <v>229695.264</v>
      </c>
      <c r="F274" s="0" t="n">
        <f aca="false">$G$1*G274</f>
        <v>193318.018443418</v>
      </c>
      <c r="G274" s="0" t="n">
        <f aca="false">TANH($E$1*B274*86.4/$G$1)</f>
        <v>0.644393394811394</v>
      </c>
      <c r="H274" s="0" t="n">
        <f aca="false">COSH($E$1*B274*86.4/$G$1)</f>
        <v>1.30771236019489</v>
      </c>
      <c r="I274" s="0" t="n">
        <f aca="false">(($G$1^2*1000)/($E$1*$I$1))*(H274-1)</f>
        <v>0.298394340446885</v>
      </c>
      <c r="J274" s="0" t="n">
        <f aca="false">$J$3*EXP(-$E$1*B274*86.4/$G$1)</f>
        <v>465.031152972083</v>
      </c>
      <c r="K274" s="0" t="n">
        <f aca="false">J273-J274</f>
        <v>1.3157009524794</v>
      </c>
    </row>
    <row r="275" customFormat="false" ht="12.8" hidden="false" customHeight="false" outlineLevel="0" collapsed="false">
      <c r="A275" s="0" t="n">
        <v>1</v>
      </c>
      <c r="B275" s="0" t="n">
        <f aca="false">B274+A275</f>
        <v>272</v>
      </c>
      <c r="C275" s="0" t="n">
        <f aca="false">$C$3+($G$1/($E$1*86.4))*SINH($E$1*B275*86.4/$G$1)</f>
        <v>44903.5735746352</v>
      </c>
      <c r="D275" s="0" t="n">
        <f aca="false">C275-$C$3-B275</f>
        <v>27.5735746351711</v>
      </c>
      <c r="E275" s="0" t="n">
        <f aca="false">$E$1*B275*86.4</f>
        <v>230542.848</v>
      </c>
      <c r="F275" s="0" t="n">
        <f aca="false">$G$1*G275</f>
        <v>193812.747234445</v>
      </c>
      <c r="G275" s="0" t="n">
        <f aca="false">TANH($E$1*B275*86.4/$G$1)</f>
        <v>0.646042490781483</v>
      </c>
      <c r="H275" s="0" t="n">
        <f aca="false">COSH($E$1*B275*86.4/$G$1)</f>
        <v>1.31009839294229</v>
      </c>
      <c r="I275" s="0" t="n">
        <f aca="false">(($G$1^2*1000)/($E$1*$I$1))*(H275-1)</f>
        <v>0.300708120327204</v>
      </c>
      <c r="J275" s="0" t="n">
        <f aca="false">$J$3*EXP(-$E$1*B275*86.4/$G$1)</f>
        <v>463.719163997034</v>
      </c>
      <c r="K275" s="0" t="n">
        <f aca="false">J274-J275</f>
        <v>1.31198897504936</v>
      </c>
    </row>
    <row r="276" customFormat="false" ht="12.8" hidden="false" customHeight="false" outlineLevel="0" collapsed="false">
      <c r="A276" s="0" t="n">
        <v>1</v>
      </c>
      <c r="B276" s="0" t="n">
        <f aca="false">B275+A276</f>
        <v>273</v>
      </c>
      <c r="C276" s="0" t="n">
        <f aca="false">$C$3+($G$1/($E$1*86.4))*SINH($E$1*B276*86.4/$G$1)</f>
        <v>44904.884870401</v>
      </c>
      <c r="D276" s="0" t="n">
        <f aca="false">C276-$C$3-B276</f>
        <v>27.8848704009724</v>
      </c>
      <c r="E276" s="0" t="n">
        <f aca="false">$E$1*B276*86.4</f>
        <v>231390.432</v>
      </c>
      <c r="F276" s="0" t="n">
        <f aca="false">$G$1*G276</f>
        <v>194305.673312302</v>
      </c>
      <c r="G276" s="0" t="n">
        <f aca="false">TANH($E$1*B276*86.4/$G$1)</f>
        <v>0.647685577707672</v>
      </c>
      <c r="H276" s="0" t="n">
        <f aca="false">COSH($E$1*B276*86.4/$G$1)</f>
        <v>1.31249488317331</v>
      </c>
      <c r="I276" s="0" t="n">
        <f aca="false">(($G$1^2*1000)/($E$1*$I$1))*(H276-1)</f>
        <v>0.303032041021906</v>
      </c>
      <c r="J276" s="0" t="n">
        <f aca="false">$J$3*EXP(-$E$1*B276*86.4/$G$1)</f>
        <v>462.41087652684</v>
      </c>
      <c r="K276" s="0" t="n">
        <f aca="false">J275-J276</f>
        <v>1.30828747019399</v>
      </c>
    </row>
    <row r="277" customFormat="false" ht="12.8" hidden="false" customHeight="false" outlineLevel="0" collapsed="false">
      <c r="A277" s="0" t="n">
        <v>1</v>
      </c>
      <c r="B277" s="0" t="n">
        <f aca="false">B276+A277</f>
        <v>274</v>
      </c>
      <c r="C277" s="0" t="n">
        <f aca="false">$C$3+($G$1/($E$1*86.4))*SINH($E$1*B277*86.4/$G$1)</f>
        <v>44906.1985678937</v>
      </c>
      <c r="D277" s="0" t="n">
        <f aca="false">C277-$C$3-B277</f>
        <v>28.1985678937199</v>
      </c>
      <c r="E277" s="0" t="n">
        <f aca="false">$E$1*B277*86.4</f>
        <v>232238.016</v>
      </c>
      <c r="F277" s="0" t="n">
        <f aca="false">$G$1*G277</f>
        <v>194796.798685979</v>
      </c>
      <c r="G277" s="0" t="n">
        <f aca="false">TANH($E$1*B277*86.4/$G$1)</f>
        <v>0.649322662286598</v>
      </c>
      <c r="H277" s="0" t="n">
        <f aca="false">COSH($E$1*B277*86.4/$G$1)</f>
        <v>1.31490185001724</v>
      </c>
      <c r="I277" s="0" t="n">
        <f aca="false">(($G$1^2*1000)/($E$1*$I$1))*(H277-1)</f>
        <v>0.305366121081019</v>
      </c>
      <c r="J277" s="0" t="n">
        <f aca="false">$J$3*EXP(-$E$1*B277*86.4/$G$1)</f>
        <v>461.106280118473</v>
      </c>
      <c r="K277" s="0" t="n">
        <f aca="false">J276-J277</f>
        <v>1.30459640836699</v>
      </c>
    </row>
    <row r="278" customFormat="false" ht="12.8" hidden="false" customHeight="false" outlineLevel="0" collapsed="false">
      <c r="A278" s="0" t="n">
        <v>1</v>
      </c>
      <c r="B278" s="0" t="n">
        <f aca="false">B277+A278</f>
        <v>275</v>
      </c>
      <c r="C278" s="0" t="n">
        <f aca="false">$C$3+($G$1/($E$1*86.4))*SINH($E$1*B278*86.4/$G$1)</f>
        <v>44907.5146775996</v>
      </c>
      <c r="D278" s="0" t="n">
        <f aca="false">C278-$C$3-B278</f>
        <v>28.5146775996182</v>
      </c>
      <c r="E278" s="0" t="n">
        <f aca="false">$E$1*B278*86.4</f>
        <v>233085.6</v>
      </c>
      <c r="F278" s="0" t="n">
        <f aca="false">$G$1*G278</f>
        <v>195286.125407102</v>
      </c>
      <c r="G278" s="0" t="n">
        <f aca="false">TANH($E$1*B278*86.4/$G$1)</f>
        <v>0.650953751357007</v>
      </c>
      <c r="H278" s="0" t="n">
        <f aca="false">COSH($E$1*B278*86.4/$G$1)</f>
        <v>1.31731931268701</v>
      </c>
      <c r="I278" s="0" t="n">
        <f aca="false">(($G$1^2*1000)/($E$1*$I$1))*(H278-1)</f>
        <v>0.307710379135667</v>
      </c>
      <c r="J278" s="0" t="n">
        <f aca="false">$J$3*EXP(-$E$1*B278*86.4/$G$1)</f>
        <v>459.805364358367</v>
      </c>
      <c r="K278" s="0" t="n">
        <f aca="false">J277-J278</f>
        <v>1.30091576010557</v>
      </c>
    </row>
    <row r="279" customFormat="false" ht="12.8" hidden="false" customHeight="false" outlineLevel="0" collapsed="false">
      <c r="A279" s="0" t="n">
        <v>1</v>
      </c>
      <c r="B279" s="0" t="n">
        <f aca="false">B278+A279</f>
        <v>276</v>
      </c>
      <c r="C279" s="0" t="n">
        <f aca="false">$C$3+($G$1/($E$1*86.4))*SINH($E$1*B279*86.4/$G$1)</f>
        <v>44908.8332100241</v>
      </c>
      <c r="D279" s="0" t="n">
        <f aca="false">C279-$C$3-B279</f>
        <v>28.8332100241314</v>
      </c>
      <c r="E279" s="0" t="n">
        <f aca="false">$E$1*B279*86.4</f>
        <v>233933.184</v>
      </c>
      <c r="F279" s="0" t="n">
        <f aca="false">$G$1*G279</f>
        <v>195773.655569512</v>
      </c>
      <c r="G279" s="0" t="n">
        <f aca="false">TANH($E$1*B279*86.4/$G$1)</f>
        <v>0.652578851898373</v>
      </c>
      <c r="H279" s="0" t="n">
        <f aca="false">COSH($E$1*B279*86.4/$G$1)</f>
        <v>1.31974729047932</v>
      </c>
      <c r="I279" s="0" t="n">
        <f aca="false">(($G$1^2*1000)/($E$1*$I$1))*(H279-1)</f>
        <v>0.310064833898214</v>
      </c>
      <c r="J279" s="0" t="n">
        <f aca="false">$J$3*EXP(-$E$1*B279*86.4/$G$1)</f>
        <v>458.508118862337</v>
      </c>
      <c r="K279" s="0" t="n">
        <f aca="false">J278-J279</f>
        <v>1.29724549603014</v>
      </c>
    </row>
    <row r="280" customFormat="false" ht="12.8" hidden="false" customHeight="false" outlineLevel="0" collapsed="false">
      <c r="A280" s="0" t="n">
        <v>1</v>
      </c>
      <c r="B280" s="0" t="n">
        <f aca="false">B279+A280</f>
        <v>277</v>
      </c>
      <c r="C280" s="0" t="n">
        <f aca="false">$C$3+($G$1/($E$1*86.4))*SINH($E$1*B280*86.4/$G$1)</f>
        <v>44910.1541756921</v>
      </c>
      <c r="D280" s="0" t="n">
        <f aca="false">C280-$C$3-B280</f>
        <v>29.1541756920778</v>
      </c>
      <c r="E280" s="0" t="n">
        <f aca="false">$E$1*B280*86.4</f>
        <v>234780.768</v>
      </c>
      <c r="F280" s="0" t="n">
        <f aca="false">$G$1*G280</f>
        <v>196259.391308855</v>
      </c>
      <c r="G280" s="0" t="n">
        <f aca="false">TANH($E$1*B280*86.4/$G$1)</f>
        <v>0.654197971029517</v>
      </c>
      <c r="H280" s="0" t="n">
        <f aca="false">COSH($E$1*B280*86.4/$G$1)</f>
        <v>1.3221858027748</v>
      </c>
      <c r="I280" s="0" t="n">
        <f aca="false">(($G$1^2*1000)/($E$1*$I$1))*(H280-1)</f>
        <v>0.31242950416242</v>
      </c>
      <c r="J280" s="0" t="n">
        <f aca="false">$J$3*EXP(-$E$1*B280*86.4/$G$1)</f>
        <v>457.214533275493</v>
      </c>
      <c r="K280" s="0" t="n">
        <f aca="false">J279-J280</f>
        <v>1.29358558684385</v>
      </c>
    </row>
    <row r="281" customFormat="false" ht="12.8" hidden="false" customHeight="false" outlineLevel="0" collapsed="false">
      <c r="A281" s="0" t="n">
        <v>1</v>
      </c>
      <c r="B281" s="0" t="n">
        <f aca="false">B280+A281</f>
        <v>278</v>
      </c>
      <c r="C281" s="0" t="n">
        <f aca="false">$C$3+($G$1/($E$1*86.4))*SINH($E$1*B281*86.4/$G$1)</f>
        <v>44911.4775851477</v>
      </c>
      <c r="D281" s="0" t="n">
        <f aca="false">C281-$C$3-B281</f>
        <v>29.4775851476734</v>
      </c>
      <c r="E281" s="0" t="n">
        <f aca="false">$E$1*B281*86.4</f>
        <v>235628.352</v>
      </c>
      <c r="F281" s="0" t="n">
        <f aca="false">$G$1*G281</f>
        <v>196743.334802168</v>
      </c>
      <c r="G281" s="0" t="n">
        <f aca="false">TANH($E$1*B281*86.4/$G$1)</f>
        <v>0.655811116007228</v>
      </c>
      <c r="H281" s="0" t="n">
        <f aca="false">COSH($E$1*B281*86.4/$G$1)</f>
        <v>1.32463486903817</v>
      </c>
      <c r="I281" s="0" t="n">
        <f aca="false">(($G$1^2*1000)/($E$1*$I$1))*(H281-1)</f>
        <v>0.314804408803583</v>
      </c>
      <c r="J281" s="0" t="n">
        <f aca="false">$J$3*EXP(-$E$1*B281*86.4/$G$1)</f>
        <v>455.924597272161</v>
      </c>
      <c r="K281" s="0" t="n">
        <f aca="false">J280-J281</f>
        <v>1.28993600333229</v>
      </c>
    </row>
    <row r="282" customFormat="false" ht="12.8" hidden="false" customHeight="false" outlineLevel="0" collapsed="false">
      <c r="A282" s="0" t="n">
        <v>1</v>
      </c>
      <c r="B282" s="0" t="n">
        <f aca="false">B281+A282</f>
        <v>279</v>
      </c>
      <c r="C282" s="0" t="n">
        <f aca="false">$C$3+($G$1/($E$1*86.4))*SINH($E$1*B282*86.4/$G$1)</f>
        <v>44912.8034489547</v>
      </c>
      <c r="D282" s="0" t="n">
        <f aca="false">C282-$C$3-B282</f>
        <v>29.8034489546553</v>
      </c>
      <c r="E282" s="0" t="n">
        <f aca="false">$E$1*B282*86.4</f>
        <v>236475.936</v>
      </c>
      <c r="F282" s="0" t="n">
        <f aca="false">$G$1*G282</f>
        <v>197225.488267466</v>
      </c>
      <c r="G282" s="0" t="n">
        <f aca="false">TANH($E$1*B282*86.4/$G$1)</f>
        <v>0.657418294224887</v>
      </c>
      <c r="H282" s="0" t="n">
        <f aca="false">COSH($E$1*B282*86.4/$G$1)</f>
        <v>1.32709450881841</v>
      </c>
      <c r="I282" s="0" t="n">
        <f aca="false">(($G$1^2*1000)/($E$1*$I$1))*(H282-1)</f>
        <v>0.317189566778697</v>
      </c>
      <c r="J282" s="0" t="n">
        <f aca="false">$J$3*EXP(-$E$1*B282*86.4/$G$1)</f>
        <v>454.638300555797</v>
      </c>
      <c r="K282" s="0" t="n">
        <f aca="false">J281-J282</f>
        <v>1.28629671636389</v>
      </c>
    </row>
    <row r="283" customFormat="false" ht="12.8" hidden="false" customHeight="false" outlineLevel="0" collapsed="false">
      <c r="A283" s="0" t="n">
        <v>1</v>
      </c>
      <c r="B283" s="0" t="n">
        <f aca="false">B282+A283</f>
        <v>280</v>
      </c>
      <c r="C283" s="0" t="n">
        <f aca="false">$C$3+($G$1/($E$1*86.4))*SINH($E$1*B283*86.4/$G$1)</f>
        <v>44914.1317776964</v>
      </c>
      <c r="D283" s="0" t="n">
        <f aca="false">C283-$C$3-B283</f>
        <v>30.1317776963551</v>
      </c>
      <c r="E283" s="0" t="n">
        <f aca="false">$E$1*B283*86.4</f>
        <v>237323.52</v>
      </c>
      <c r="F283" s="0" t="n">
        <f aca="false">$G$1*G283</f>
        <v>197705.853963326</v>
      </c>
      <c r="G283" s="0" t="n">
        <f aca="false">TANH($E$1*B283*86.4/$G$1)</f>
        <v>0.659019513211086</v>
      </c>
      <c r="H283" s="0" t="n">
        <f aca="false">COSH($E$1*B283*86.4/$G$1)</f>
        <v>1.32956474174887</v>
      </c>
      <c r="I283" s="0" t="n">
        <f aca="false">(($G$1^2*1000)/($E$1*$I$1))*(H283-1)</f>
        <v>0.319584997126601</v>
      </c>
      <c r="J283" s="0" t="n">
        <f aca="false">$J$3*EXP(-$E$1*B283*86.4/$G$1)</f>
        <v>453.355632858908</v>
      </c>
      <c r="K283" s="0" t="n">
        <f aca="false">J282-J283</f>
        <v>1.28266769688912</v>
      </c>
    </row>
    <row r="284" customFormat="false" ht="12.8" hidden="false" customHeight="false" outlineLevel="0" collapsed="false">
      <c r="A284" s="0" t="n">
        <v>1</v>
      </c>
      <c r="B284" s="0" t="n">
        <f aca="false">B283+A284</f>
        <v>281</v>
      </c>
      <c r="C284" s="0" t="n">
        <f aca="false">$C$3+($G$1/($E$1*86.4))*SINH($E$1*B284*86.4/$G$1)</f>
        <v>44915.4625819758</v>
      </c>
      <c r="D284" s="0" t="n">
        <f aca="false">C284-$C$3-B284</f>
        <v>30.4625819757785</v>
      </c>
      <c r="E284" s="0" t="n">
        <f aca="false">$E$1*B284*86.4</f>
        <v>238171.104</v>
      </c>
      <c r="F284" s="0" t="n">
        <f aca="false">$G$1*G284</f>
        <v>198184.434188477</v>
      </c>
      <c r="G284" s="0" t="n">
        <f aca="false">TANH($E$1*B284*86.4/$G$1)</f>
        <v>0.660614780628256</v>
      </c>
      <c r="H284" s="0" t="n">
        <f aca="false">COSH($E$1*B284*86.4/$G$1)</f>
        <v>1.33204558754749</v>
      </c>
      <c r="I284" s="0" t="n">
        <f aca="false">(($G$1^2*1000)/($E$1*$I$1))*(H284-1)</f>
        <v>0.321990718968127</v>
      </c>
      <c r="J284" s="0" t="n">
        <f aca="false">$J$3*EXP(-$E$1*B284*86.4/$G$1)</f>
        <v>452.076583942967</v>
      </c>
      <c r="K284" s="0" t="n">
        <f aca="false">J283-J284</f>
        <v>1.27904891594039</v>
      </c>
    </row>
    <row r="285" customFormat="false" ht="12.8" hidden="false" customHeight="false" outlineLevel="0" collapsed="false">
      <c r="A285" s="0" t="n">
        <v>1</v>
      </c>
      <c r="B285" s="0" t="n">
        <f aca="false">B284+A285</f>
        <v>282</v>
      </c>
      <c r="C285" s="0" t="n">
        <f aca="false">$C$3+($G$1/($E$1*86.4))*SINH($E$1*B285*86.4/$G$1)</f>
        <v>44916.7958724157</v>
      </c>
      <c r="D285" s="0" t="n">
        <f aca="false">C285-$C$3-B285</f>
        <v>30.7958724156779</v>
      </c>
      <c r="E285" s="0" t="n">
        <f aca="false">$E$1*B285*86.4</f>
        <v>239018.688</v>
      </c>
      <c r="F285" s="0" t="n">
        <f aca="false">$G$1*G285</f>
        <v>198661.231281388</v>
      </c>
      <c r="G285" s="0" t="n">
        <f aca="false">TANH($E$1*B285*86.4/$G$1)</f>
        <v>0.662204104271294</v>
      </c>
      <c r="H285" s="0" t="n">
        <f aca="false">COSH($E$1*B285*86.4/$G$1)</f>
        <v>1.33453706601689</v>
      </c>
      <c r="I285" s="0" t="n">
        <f aca="false">(($G$1^2*1000)/($E$1*$I$1))*(H285-1)</f>
        <v>0.324406751506258</v>
      </c>
      <c r="J285" s="0" t="n">
        <f aca="false">$J$3*EXP(-$E$1*B285*86.4/$G$1)</f>
        <v>450.801143598336</v>
      </c>
      <c r="K285" s="0" t="n">
        <f aca="false">J284-J285</f>
        <v>1.27544034463159</v>
      </c>
    </row>
    <row r="286" customFormat="false" ht="12.8" hidden="false" customHeight="false" outlineLevel="0" collapsed="false">
      <c r="A286" s="0" t="n">
        <v>1</v>
      </c>
      <c r="B286" s="0" t="n">
        <f aca="false">B285+A286</f>
        <v>283</v>
      </c>
      <c r="C286" s="0" t="n">
        <f aca="false">$C$3+($G$1/($E$1*86.4))*SINH($E$1*B286*86.4/$G$1)</f>
        <v>44918.1316596587</v>
      </c>
      <c r="D286" s="0" t="n">
        <f aca="false">C286-$C$3-B286</f>
        <v>31.1316596586621</v>
      </c>
      <c r="E286" s="0" t="n">
        <f aca="false">$E$1*B286*86.4</f>
        <v>239866.272</v>
      </c>
      <c r="F286" s="0" t="n">
        <f aca="false">$G$1*G286</f>
        <v>199136.247619856</v>
      </c>
      <c r="G286" s="0" t="n">
        <f aca="false">TANH($E$1*B286*86.4/$G$1)</f>
        <v>0.663787492066187</v>
      </c>
      <c r="H286" s="0" t="n">
        <f aca="false">COSH($E$1*B286*86.4/$G$1)</f>
        <v>1.3370391970446</v>
      </c>
      <c r="I286" s="0" t="n">
        <f aca="false">(($G$1^2*1000)/($E$1*$I$1))*(H286-1)</f>
        <v>0.32683311402628</v>
      </c>
      <c r="J286" s="0" t="n">
        <f aca="false">$J$3*EXP(-$E$1*B286*86.4/$G$1)</f>
        <v>449.529301644177</v>
      </c>
      <c r="K286" s="0" t="n">
        <f aca="false">J285-J286</f>
        <v>1.27184195415867</v>
      </c>
    </row>
    <row r="287" customFormat="false" ht="12.8" hidden="false" customHeight="false" outlineLevel="0" collapsed="false">
      <c r="A287" s="0" t="n">
        <v>1</v>
      </c>
      <c r="B287" s="0" t="n">
        <f aca="false">B286+A287</f>
        <v>284</v>
      </c>
      <c r="C287" s="0" t="n">
        <f aca="false">$C$3+($G$1/($E$1*86.4))*SINH($E$1*B287*86.4/$G$1)</f>
        <v>44919.4699543673</v>
      </c>
      <c r="D287" s="0" t="n">
        <f aca="false">C287-$C$3-B287</f>
        <v>31.4699543672759</v>
      </c>
      <c r="E287" s="0" t="n">
        <f aca="false">$E$1*B287*86.4</f>
        <v>240713.856</v>
      </c>
      <c r="F287" s="0" t="n">
        <f aca="false">$G$1*G287</f>
        <v>199609.485620593</v>
      </c>
      <c r="G287" s="0" t="n">
        <f aca="false">TANH($E$1*B287*86.4/$G$1)</f>
        <v>0.665364952068644</v>
      </c>
      <c r="H287" s="0" t="n">
        <f aca="false">COSH($E$1*B287*86.4/$G$1)</f>
        <v>1.33955200060315</v>
      </c>
      <c r="I287" s="0" t="n">
        <f aca="false">(($G$1^2*1000)/($E$1*$I$1))*(H287-1)</f>
        <v>0.329269825895932</v>
      </c>
      <c r="J287" s="0" t="n">
        <f aca="false">$J$3*EXP(-$E$1*B287*86.4/$G$1)</f>
        <v>448.261047928379</v>
      </c>
      <c r="K287" s="0" t="n">
        <f aca="false">J286-J287</f>
        <v>1.26825371579827</v>
      </c>
    </row>
    <row r="288" customFormat="false" ht="12.8" hidden="false" customHeight="false" outlineLevel="0" collapsed="false">
      <c r="A288" s="0" t="n">
        <v>1</v>
      </c>
      <c r="B288" s="0" t="n">
        <f aca="false">B287+A288</f>
        <v>285</v>
      </c>
      <c r="C288" s="0" t="n">
        <f aca="false">$C$3+($G$1/($E$1*86.4))*SINH($E$1*B288*86.4/$G$1)</f>
        <v>44920.8107672241</v>
      </c>
      <c r="D288" s="0" t="n">
        <f aca="false">C288-$C$3-B288</f>
        <v>31.8107672240658</v>
      </c>
      <c r="E288" s="0" t="n">
        <f aca="false">$E$1*B288*86.4</f>
        <v>241561.44</v>
      </c>
      <c r="F288" s="0" t="n">
        <f aca="false">$G$1*G288</f>
        <v>200080.947738819</v>
      </c>
      <c r="G288" s="0" t="n">
        <f aca="false">TANH($E$1*B288*86.4/$G$1)</f>
        <v>0.666936492462729</v>
      </c>
      <c r="H288" s="0" t="n">
        <f aca="false">COSH($E$1*B288*86.4/$G$1)</f>
        <v>1.34207549675027</v>
      </c>
      <c r="I288" s="0" t="n">
        <f aca="false">(($G$1^2*1000)/($E$1*$I$1))*(H288-1)</f>
        <v>0.331716906565568</v>
      </c>
      <c r="J288" s="0" t="n">
        <f aca="false">$J$3*EXP(-$E$1*B288*86.4/$G$1)</f>
        <v>446.99637232747</v>
      </c>
      <c r="K288" s="0" t="n">
        <f aca="false">J287-J288</f>
        <v>1.26467560090856</v>
      </c>
    </row>
    <row r="289" customFormat="false" ht="12.8" hidden="false" customHeight="false" outlineLevel="0" collapsed="false">
      <c r="A289" s="0" t="n">
        <v>1</v>
      </c>
      <c r="B289" s="0" t="n">
        <f aca="false">B288+A289</f>
        <v>286</v>
      </c>
      <c r="C289" s="0" t="n">
        <f aca="false">$C$3+($G$1/($E$1*86.4))*SINH($E$1*B289*86.4/$G$1)</f>
        <v>44922.1541089317</v>
      </c>
      <c r="D289" s="0" t="n">
        <f aca="false">C289-$C$3-B289</f>
        <v>32.1541089316816</v>
      </c>
      <c r="E289" s="0" t="n">
        <f aca="false">$E$1*B289*86.4</f>
        <v>242409.024</v>
      </c>
      <c r="F289" s="0" t="n">
        <f aca="false">$G$1*G289</f>
        <v>200550.636467848</v>
      </c>
      <c r="G289" s="0" t="n">
        <f aca="false">TANH($E$1*B289*86.4/$G$1)</f>
        <v>0.668502121559495</v>
      </c>
      <c r="H289" s="0" t="n">
        <f aca="false">COSH($E$1*B289*86.4/$G$1)</f>
        <v>1.34460970562905</v>
      </c>
      <c r="I289" s="0" t="n">
        <f aca="false">(($G$1^2*1000)/($E$1*$I$1))*(H289-1)</f>
        <v>0.334174375568303</v>
      </c>
      <c r="J289" s="0" t="n">
        <f aca="false">$J$3*EXP(-$E$1*B289*86.4/$G$1)</f>
        <v>445.735264746543</v>
      </c>
      <c r="K289" s="0" t="n">
        <f aca="false">J288-J289</f>
        <v>1.26110758092784</v>
      </c>
    </row>
    <row r="290" customFormat="false" ht="12.8" hidden="false" customHeight="false" outlineLevel="0" collapsed="false">
      <c r="A290" s="0" t="n">
        <v>1</v>
      </c>
      <c r="B290" s="0" t="n">
        <f aca="false">B289+A290</f>
        <v>287</v>
      </c>
      <c r="C290" s="0" t="n">
        <f aca="false">$C$3+($G$1/($E$1*86.4))*SINH($E$1*B290*86.4/$G$1)</f>
        <v>44923.499990213</v>
      </c>
      <c r="D290" s="0" t="n">
        <f aca="false">C290-$C$3-B290</f>
        <v>32.4999902129712</v>
      </c>
      <c r="E290" s="0" t="n">
        <f aca="false">$E$1*B290*86.4</f>
        <v>243256.608</v>
      </c>
      <c r="F290" s="0" t="n">
        <f aca="false">$G$1*G290</f>
        <v>201018.554338685</v>
      </c>
      <c r="G290" s="0" t="n">
        <f aca="false">TANH($E$1*B290*86.4/$G$1)</f>
        <v>0.670061847795615</v>
      </c>
      <c r="H290" s="0" t="n">
        <f aca="false">COSH($E$1*B290*86.4/$G$1)</f>
        <v>1.34715464746808</v>
      </c>
      <c r="I290" s="0" t="n">
        <f aca="false">(($G$1^2*1000)/($E$1*$I$1))*(H290-1)</f>
        <v>0.336642252520179</v>
      </c>
      <c r="J290" s="0" t="n">
        <f aca="false">$J$3*EXP(-$E$1*B290*86.4/$G$1)</f>
        <v>444.477715119167</v>
      </c>
      <c r="K290" s="0" t="n">
        <f aca="false">J289-J290</f>
        <v>1.2575496273758</v>
      </c>
    </row>
    <row r="291" customFormat="false" ht="12.8" hidden="false" customHeight="false" outlineLevel="0" collapsed="false">
      <c r="A291" s="0" t="n">
        <v>1</v>
      </c>
      <c r="B291" s="0" t="n">
        <f aca="false">B290+A291</f>
        <v>288</v>
      </c>
      <c r="C291" s="0" t="n">
        <f aca="false">$C$3+($G$1/($E$1*86.4))*SINH($E$1*B291*86.4/$G$1)</f>
        <v>44924.848421811</v>
      </c>
      <c r="D291" s="0" t="n">
        <f aca="false">C291-$C$3-B291</f>
        <v>32.8484218110461</v>
      </c>
      <c r="E291" s="0" t="n">
        <f aca="false">$E$1*B291*86.4</f>
        <v>244104.192</v>
      </c>
      <c r="F291" s="0" t="n">
        <f aca="false">$G$1*G291</f>
        <v>201484.703919609</v>
      </c>
      <c r="G291" s="0" t="n">
        <f aca="false">TANH($E$1*B291*86.4/$G$1)</f>
        <v>0.67161567973203</v>
      </c>
      <c r="H291" s="0" t="n">
        <f aca="false">COSH($E$1*B291*86.4/$G$1)</f>
        <v>1.34971034258162</v>
      </c>
      <c r="I291" s="0" t="n">
        <f aca="false">(($G$1^2*1000)/($E$1*$I$1))*(H291-1)</f>
        <v>0.339120557120313</v>
      </c>
      <c r="J291" s="0" t="n">
        <f aca="false">$J$3*EXP(-$E$1*B291*86.4/$G$1)</f>
        <v>443.223713407315</v>
      </c>
      <c r="K291" s="0" t="n">
        <f aca="false">J290-J291</f>
        <v>1.25400171185203</v>
      </c>
    </row>
    <row r="292" customFormat="false" ht="12.8" hidden="false" customHeight="false" outlineLevel="0" collapsed="false">
      <c r="A292" s="0" t="n">
        <v>1</v>
      </c>
      <c r="B292" s="0" t="n">
        <f aca="false">B291+A292</f>
        <v>289</v>
      </c>
      <c r="C292" s="0" t="n">
        <f aca="false">$C$3+($G$1/($E$1*86.4))*SINH($E$1*B292*86.4/$G$1)</f>
        <v>44926.1994144894</v>
      </c>
      <c r="D292" s="0" t="n">
        <f aca="false">C292-$C$3-B292</f>
        <v>33.1994144893615</v>
      </c>
      <c r="E292" s="0" t="n">
        <f aca="false">$E$1*B292*86.4</f>
        <v>244951.776</v>
      </c>
      <c r="F292" s="0" t="n">
        <f aca="false">$G$1*G292</f>
        <v>201949.087815774</v>
      </c>
      <c r="G292" s="0" t="n">
        <f aca="false">TANH($E$1*B292*86.4/$G$1)</f>
        <v>0.67316362605258</v>
      </c>
      <c r="H292" s="0" t="n">
        <f aca="false">COSH($E$1*B292*86.4/$G$1)</f>
        <v>1.35227681136978</v>
      </c>
      <c r="I292" s="0" t="n">
        <f aca="false">(($G$1^2*1000)/($E$1*$I$1))*(H292-1)</f>
        <v>0.341609309151058</v>
      </c>
      <c r="J292" s="0" t="n">
        <f aca="false">$J$3*EXP(-$E$1*B292*86.4/$G$1)</f>
        <v>441.973249601279</v>
      </c>
      <c r="K292" s="0" t="n">
        <f aca="false">J291-J292</f>
        <v>1.25046380603607</v>
      </c>
    </row>
    <row r="293" customFormat="false" ht="12.8" hidden="false" customHeight="false" outlineLevel="0" collapsed="false">
      <c r="A293" s="0" t="n">
        <v>1</v>
      </c>
      <c r="B293" s="0" t="n">
        <f aca="false">B292+A293</f>
        <v>290</v>
      </c>
      <c r="C293" s="0" t="n">
        <f aca="false">$C$3+($G$1/($E$1*86.4))*SINH($E$1*B293*86.4/$G$1)</f>
        <v>44927.5529790318</v>
      </c>
      <c r="D293" s="0" t="n">
        <f aca="false">C293-$C$3-B293</f>
        <v>33.5529790318324</v>
      </c>
      <c r="E293" s="0" t="n">
        <f aca="false">$E$1*B293*86.4</f>
        <v>245799.36</v>
      </c>
      <c r="F293" s="0" t="n">
        <f aca="false">$G$1*G293</f>
        <v>202411.708668796</v>
      </c>
      <c r="G293" s="0" t="n">
        <f aca="false">TANH($E$1*B293*86.4/$G$1)</f>
        <v>0.674705695562655</v>
      </c>
      <c r="H293" s="0" t="n">
        <f aca="false">COSH($E$1*B293*86.4/$G$1)</f>
        <v>1.35485407431866</v>
      </c>
      <c r="I293" s="0" t="n">
        <f aca="false">(($G$1^2*1000)/($E$1*$I$1))*(H293-1)</f>
        <v>0.344108528478163</v>
      </c>
      <c r="J293" s="0" t="n">
        <f aca="false">$J$3*EXP(-$E$1*B293*86.4/$G$1)</f>
        <v>440.726313719591</v>
      </c>
      <c r="K293" s="0" t="n">
        <f aca="false">J292-J293</f>
        <v>1.24693588168799</v>
      </c>
    </row>
    <row r="294" customFormat="false" ht="12.8" hidden="false" customHeight="false" outlineLevel="0" collapsed="false">
      <c r="A294" s="0" t="n">
        <v>1</v>
      </c>
      <c r="B294" s="0" t="n">
        <f aca="false">B293+A294</f>
        <v>291</v>
      </c>
      <c r="C294" s="0" t="n">
        <f aca="false">$C$3+($G$1/($E$1*86.4))*SINH($E$1*B294*86.4/$G$1)</f>
        <v>44928.9091262429</v>
      </c>
      <c r="D294" s="0" t="n">
        <f aca="false">C294-$C$3-B294</f>
        <v>33.9091262429065</v>
      </c>
      <c r="E294" s="0" t="n">
        <f aca="false">$E$1*B294*86.4</f>
        <v>246646.944</v>
      </c>
      <c r="F294" s="0" t="n">
        <f aca="false">$G$1*G294</f>
        <v>202872.569156351</v>
      </c>
      <c r="G294" s="0" t="n">
        <f aca="false">TANH($E$1*B294*86.4/$G$1)</f>
        <v>0.676241897187837</v>
      </c>
      <c r="H294" s="0" t="n">
        <f aca="false">COSH($E$1*B294*86.4/$G$1)</f>
        <v>1.35744215200051</v>
      </c>
      <c r="I294" s="0" t="n">
        <f aca="false">(($G$1^2*1000)/($E$1*$I$1))*(H294-1)</f>
        <v>0.346618235050926</v>
      </c>
      <c r="J294" s="0" t="n">
        <f aca="false">$J$3*EXP(-$E$1*B294*86.4/$G$1)</f>
        <v>439.482895808944</v>
      </c>
      <c r="K294" s="0" t="n">
        <f aca="false">J293-J294</f>
        <v>1.24341791064688</v>
      </c>
    </row>
    <row r="295" customFormat="false" ht="12.8" hidden="false" customHeight="false" outlineLevel="0" collapsed="false">
      <c r="A295" s="0" t="n">
        <v>1</v>
      </c>
      <c r="B295" s="0" t="n">
        <f aca="false">B294+A295</f>
        <v>292</v>
      </c>
      <c r="C295" s="0" t="n">
        <f aca="false">$C$3+($G$1/($E$1*86.4))*SINH($E$1*B295*86.4/$G$1)</f>
        <v>44930.2678669476</v>
      </c>
      <c r="D295" s="0" t="n">
        <f aca="false">C295-$C$3-B295</f>
        <v>34.26786694763</v>
      </c>
      <c r="E295" s="0" t="n">
        <f aca="false">$E$1*B295*86.4</f>
        <v>247494.528</v>
      </c>
      <c r="F295" s="0" t="n">
        <f aca="false">$G$1*G295</f>
        <v>203331.671991766</v>
      </c>
      <c r="G295" s="0" t="n">
        <f aca="false">TANH($E$1*B295*86.4/$G$1)</f>
        <v>0.677772239972554</v>
      </c>
      <c r="H295" s="0" t="n">
        <f aca="false">COSH($E$1*B295*86.4/$G$1)</f>
        <v>1.36004106507392</v>
      </c>
      <c r="I295" s="0" t="n">
        <f aca="false">(($G$1^2*1000)/($E$1*$I$1))*(H295-1)</f>
        <v>0.349138448902357</v>
      </c>
      <c r="J295" s="0" t="n">
        <f aca="false">$J$3*EXP(-$E$1*B295*86.4/$G$1)</f>
        <v>438.242985944112</v>
      </c>
      <c r="K295" s="0" t="n">
        <f aca="false">J294-J295</f>
        <v>1.2399098648317</v>
      </c>
    </row>
    <row r="296" customFormat="false" ht="12.8" hidden="false" customHeight="false" outlineLevel="0" collapsed="false">
      <c r="A296" s="0" t="n">
        <v>1</v>
      </c>
      <c r="B296" s="0" t="n">
        <f aca="false">B295+A296</f>
        <v>293</v>
      </c>
      <c r="C296" s="0" t="n">
        <f aca="false">$C$3+($G$1/($E$1*86.4))*SINH($E$1*B296*86.4/$G$1)</f>
        <v>44931.6292119918</v>
      </c>
      <c r="D296" s="0" t="n">
        <f aca="false">C296-$C$3-B296</f>
        <v>34.6292119917707</v>
      </c>
      <c r="E296" s="0" t="n">
        <f aca="false">$E$1*B296*86.4</f>
        <v>248342.112</v>
      </c>
      <c r="F296" s="0" t="n">
        <f aca="false">$G$1*G296</f>
        <v>203789.019923617</v>
      </c>
      <c r="G296" s="0" t="n">
        <f aca="false">TANH($E$1*B296*86.4/$G$1)</f>
        <v>0.679296733078724</v>
      </c>
      <c r="H296" s="0" t="n">
        <f aca="false">COSH($E$1*B296*86.4/$G$1)</f>
        <v>1.36265083428397</v>
      </c>
      <c r="I296" s="0" t="n">
        <f aca="false">(($G$1^2*1000)/($E$1*$I$1))*(H296-1)</f>
        <v>0.351669190149341</v>
      </c>
      <c r="J296" s="0" t="n">
        <f aca="false">$J$3*EXP(-$E$1*B296*86.4/$G$1)</f>
        <v>437.006574227872</v>
      </c>
      <c r="K296" s="0" t="n">
        <f aca="false">J295-J296</f>
        <v>1.23641171624024</v>
      </c>
    </row>
    <row r="297" customFormat="false" ht="12.8" hidden="false" customHeight="false" outlineLevel="0" collapsed="false">
      <c r="A297" s="0" t="n">
        <v>1</v>
      </c>
      <c r="B297" s="0" t="n">
        <f aca="false">B296+A297</f>
        <v>294</v>
      </c>
      <c r="C297" s="0" t="n">
        <f aca="false">$C$3+($G$1/($E$1*86.4))*SINH($E$1*B297*86.4/$G$1)</f>
        <v>44932.9931722419</v>
      </c>
      <c r="D297" s="0" t="n">
        <f aca="false">C297-$C$3-B297</f>
        <v>34.9931722418551</v>
      </c>
      <c r="E297" s="0" t="n">
        <f aca="false">$E$1*B297*86.4</f>
        <v>249189.696</v>
      </c>
      <c r="F297" s="0" t="n">
        <f aca="false">$G$1*G297</f>
        <v>204244.615735326</v>
      </c>
      <c r="G297" s="0" t="n">
        <f aca="false">TANH($E$1*B297*86.4/$G$1)</f>
        <v>0.680815385784421</v>
      </c>
      <c r="H297" s="0" t="n">
        <f aca="false">COSH($E$1*B297*86.4/$G$1)</f>
        <v>1.36527148046239</v>
      </c>
      <c r="I297" s="0" t="n">
        <f aca="false">(($G$1^2*1000)/($E$1*$I$1))*(H297-1)</f>
        <v>0.35421047899279</v>
      </c>
      <c r="J297" s="0" t="n">
        <f aca="false">$J$3*EXP(-$E$1*B297*86.4/$G$1)</f>
        <v>435.773650790922</v>
      </c>
      <c r="K297" s="0" t="n">
        <f aca="false">J296-J297</f>
        <v>1.23292343694982</v>
      </c>
    </row>
    <row r="298" customFormat="false" ht="12.8" hidden="false" customHeight="false" outlineLevel="0" collapsed="false">
      <c r="A298" s="0" t="n">
        <v>1</v>
      </c>
      <c r="B298" s="0" t="n">
        <f aca="false">B297+A298</f>
        <v>295</v>
      </c>
      <c r="C298" s="0" t="n">
        <f aca="false">$C$3+($G$1/($E$1*86.4))*SINH($E$1*B298*86.4/$G$1)</f>
        <v>44934.3597585853</v>
      </c>
      <c r="D298" s="0" t="n">
        <f aca="false">C298-$C$3-B298</f>
        <v>35.3597585853204</v>
      </c>
      <c r="E298" s="0" t="n">
        <f aca="false">$E$1*B298*86.4</f>
        <v>250037.28</v>
      </c>
      <c r="F298" s="0" t="n">
        <f aca="false">$G$1*G298</f>
        <v>204698.462244757</v>
      </c>
      <c r="G298" s="0" t="n">
        <f aca="false">TANH($E$1*B298*86.4/$G$1)</f>
        <v>0.682328207482523</v>
      </c>
      <c r="H298" s="0" t="n">
        <f aca="false">COSH($E$1*B298*86.4/$G$1)</f>
        <v>1.36790302452774</v>
      </c>
      <c r="I298" s="0" t="n">
        <f aca="false">(($G$1^2*1000)/($E$1*$I$1))*(H298-1)</f>
        <v>0.356762335717812</v>
      </c>
      <c r="J298" s="0" t="n">
        <f aca="false">$J$3*EXP(-$E$1*B298*86.4/$G$1)</f>
        <v>434.544205791806</v>
      </c>
      <c r="K298" s="0" t="n">
        <f aca="false">J297-J298</f>
        <v>1.22944499911608</v>
      </c>
    </row>
    <row r="299" customFormat="false" ht="12.8" hidden="false" customHeight="false" outlineLevel="0" collapsed="false">
      <c r="A299" s="0" t="n">
        <v>1</v>
      </c>
      <c r="B299" s="0" t="n">
        <f aca="false">B298+A299</f>
        <v>296</v>
      </c>
      <c r="C299" s="0" t="n">
        <f aca="false">$C$3+($G$1/($E$1*86.4))*SINH($E$1*B299*86.4/$G$1)</f>
        <v>44935.7289819305</v>
      </c>
      <c r="D299" s="0" t="n">
        <f aca="false">C299-$C$3-B299</f>
        <v>35.7289819305443</v>
      </c>
      <c r="E299" s="0" t="n">
        <f aca="false">$E$1*B299*86.4</f>
        <v>250884.864</v>
      </c>
      <c r="F299" s="0" t="n">
        <f aca="false">$G$1*G299</f>
        <v>205150.562303814</v>
      </c>
      <c r="G299" s="0" t="n">
        <f aca="false">TANH($E$1*B299*86.4/$G$1)</f>
        <v>0.68383520767938</v>
      </c>
      <c r="H299" s="0" t="n">
        <f aca="false">COSH($E$1*B299*86.4/$G$1)</f>
        <v>1.37054548748555</v>
      </c>
      <c r="I299" s="0" t="n">
        <f aca="false">(($G$1^2*1000)/($E$1*$I$1))*(H299-1)</f>
        <v>0.359324780693869</v>
      </c>
      <c r="J299" s="0" t="n">
        <f aca="false">$J$3*EXP(-$E$1*B299*86.4/$G$1)</f>
        <v>433.318229416833</v>
      </c>
      <c r="K299" s="0" t="n">
        <f aca="false">J298-J299</f>
        <v>1.22597637497341</v>
      </c>
    </row>
    <row r="300" customFormat="false" ht="12.8" hidden="false" customHeight="false" outlineLevel="0" collapsed="false">
      <c r="A300" s="0" t="n">
        <v>1</v>
      </c>
      <c r="B300" s="0" t="n">
        <f aca="false">B299+A300</f>
        <v>297</v>
      </c>
      <c r="C300" s="0" t="n">
        <f aca="false">$C$3+($G$1/($E$1*86.4))*SINH($E$1*B300*86.4/$G$1)</f>
        <v>44937.100853207</v>
      </c>
      <c r="D300" s="0" t="n">
        <f aca="false">C300-$C$3-B300</f>
        <v>36.1008532069536</v>
      </c>
      <c r="E300" s="0" t="n">
        <f aca="false">$E$1*B300*86.4</f>
        <v>251732.448</v>
      </c>
      <c r="F300" s="0" t="n">
        <f aca="false">$G$1*G300</f>
        <v>205600.918798044</v>
      </c>
      <c r="G300" s="0" t="n">
        <f aca="false">TANH($E$1*B300*86.4/$G$1)</f>
        <v>0.68533639599348</v>
      </c>
      <c r="H300" s="0" t="n">
        <f aca="false">COSH($E$1*B300*86.4/$G$1)</f>
        <v>1.37319889042854</v>
      </c>
      <c r="I300" s="0" t="n">
        <f aca="false">(($G$1^2*1000)/($E$1*$I$1))*(H300-1)</f>
        <v>0.361897834374942</v>
      </c>
      <c r="J300" s="0" t="n">
        <f aca="false">$J$3*EXP(-$E$1*B300*86.4/$G$1)</f>
        <v>432.095711879998</v>
      </c>
      <c r="K300" s="0" t="n">
        <f aca="false">J299-J300</f>
        <v>1.22251753683469</v>
      </c>
    </row>
    <row r="301" customFormat="false" ht="12.8" hidden="false" customHeight="false" outlineLevel="0" collapsed="false">
      <c r="A301" s="0" t="n">
        <v>1</v>
      </c>
      <c r="B301" s="0" t="n">
        <f aca="false">B300+A301</f>
        <v>298</v>
      </c>
      <c r="C301" s="0" t="n">
        <f aca="false">$C$3+($G$1/($E$1*86.4))*SINH($E$1*B301*86.4/$G$1)</f>
        <v>44938.4753833651</v>
      </c>
      <c r="D301" s="0" t="n">
        <f aca="false">C301-$C$3-B301</f>
        <v>36.4753833651193</v>
      </c>
      <c r="E301" s="0" t="n">
        <f aca="false">$E$1*B301*86.4</f>
        <v>252580.032</v>
      </c>
      <c r="F301" s="0" t="n">
        <f aca="false">$G$1*G301</f>
        <v>206049.534646233</v>
      </c>
      <c r="G301" s="0" t="n">
        <f aca="false">TANH($E$1*B301*86.4/$G$1)</f>
        <v>0.686831782154111</v>
      </c>
      <c r="H301" s="0" t="n">
        <f aca="false">COSH($E$1*B301*86.4/$G$1)</f>
        <v>1.37586325453671</v>
      </c>
      <c r="I301" s="0" t="n">
        <f aca="false">(($G$1^2*1000)/($E$1*$I$1))*(H301-1)</f>
        <v>0.364481517299691</v>
      </c>
      <c r="J301" s="0" t="n">
        <f aca="false">$J$3*EXP(-$E$1*B301*86.4/$G$1)</f>
        <v>430.876643422907</v>
      </c>
      <c r="K301" s="0" t="n">
        <f aca="false">J300-J301</f>
        <v>1.21906845709049</v>
      </c>
    </row>
    <row r="302" customFormat="false" ht="12.8" hidden="false" customHeight="false" outlineLevel="0" collapsed="false">
      <c r="A302" s="0" t="n">
        <v>1</v>
      </c>
      <c r="B302" s="0" t="n">
        <f aca="false">B301+A302</f>
        <v>299</v>
      </c>
      <c r="C302" s="0" t="n">
        <f aca="false">$C$3+($G$1/($E$1*86.4))*SINH($E$1*B302*86.4/$G$1)</f>
        <v>44939.8525833768</v>
      </c>
      <c r="D302" s="0" t="n">
        <f aca="false">C302-$C$3-B302</f>
        <v>36.8525833768363</v>
      </c>
      <c r="E302" s="0" t="n">
        <f aca="false">$E$1*B302*86.4</f>
        <v>253427.616</v>
      </c>
      <c r="F302" s="0" t="n">
        <f aca="false">$G$1*G302</f>
        <v>206496.412800012</v>
      </c>
      <c r="G302" s="0" t="n">
        <f aca="false">TANH($E$1*B302*86.4/$G$1)</f>
        <v>0.68832137600004</v>
      </c>
      <c r="H302" s="0" t="n">
        <f aca="false">COSH($E$1*B302*86.4/$G$1)</f>
        <v>1.3785386010776</v>
      </c>
      <c r="I302" s="0" t="n">
        <f aca="false">(($G$1^2*1000)/($E$1*$I$1))*(H302-1)</f>
        <v>0.367075850091622</v>
      </c>
      <c r="J302" s="0" t="n">
        <f aca="false">$J$3*EXP(-$E$1*B302*86.4/$G$1)</f>
        <v>429.661014314698</v>
      </c>
      <c r="K302" s="0" t="n">
        <f aca="false">J301-J302</f>
        <v>1.21562910820961</v>
      </c>
    </row>
    <row r="303" customFormat="false" ht="12.8" hidden="false" customHeight="false" outlineLevel="0" collapsed="false">
      <c r="A303" s="0" t="n">
        <v>1</v>
      </c>
      <c r="B303" s="0" t="n">
        <f aca="false">B302+A303</f>
        <v>300</v>
      </c>
      <c r="C303" s="0" t="n">
        <f aca="false">$C$3+($G$1/($E$1*86.4))*SINH($E$1*B303*86.4/$G$1)</f>
        <v>44941.2324642352</v>
      </c>
      <c r="D303" s="0" t="n">
        <f aca="false">C303-$C$3-B303</f>
        <v>37.2324642352032</v>
      </c>
      <c r="E303" s="0" t="n">
        <f aca="false">$E$1*B303*86.4</f>
        <v>254275.2</v>
      </c>
      <c r="F303" s="0" t="n">
        <f aca="false">$G$1*G303</f>
        <v>206941.556243456</v>
      </c>
      <c r="G303" s="0" t="n">
        <f aca="false">TANH($E$1*B303*86.4/$G$1)</f>
        <v>0.689805187478185</v>
      </c>
      <c r="H303" s="0" t="n">
        <f aca="false">COSH($E$1*B303*86.4/$G$1)</f>
        <v>1.38122495140639</v>
      </c>
      <c r="I303" s="0" t="n">
        <f aca="false">(($G$1^2*1000)/($E$1*$I$1))*(H303-1)</f>
        <v>0.369680853459251</v>
      </c>
      <c r="J303" s="0" t="n">
        <f aca="false">$J$3*EXP(-$E$1*B303*86.4/$G$1)</f>
        <v>428.448814851959</v>
      </c>
      <c r="K303" s="0" t="n">
        <f aca="false">J302-J303</f>
        <v>1.21219946273845</v>
      </c>
    </row>
    <row r="304" customFormat="false" ht="12.8" hidden="false" customHeight="false" outlineLevel="0" collapsed="false">
      <c r="A304" s="0" t="n">
        <v>1</v>
      </c>
      <c r="B304" s="0" t="n">
        <f aca="false">B303+A304</f>
        <v>301</v>
      </c>
      <c r="C304" s="0" t="n">
        <f aca="false">$C$3+($G$1/($E$1*86.4))*SINH($E$1*B304*86.4/$G$1)</f>
        <v>44942.6150369547</v>
      </c>
      <c r="D304" s="0" t="n">
        <f aca="false">C304-$C$3-B304</f>
        <v>37.6150369547249</v>
      </c>
      <c r="E304" s="0" t="n">
        <f aca="false">$E$1*B304*86.4</f>
        <v>255122.784</v>
      </c>
      <c r="F304" s="0" t="n">
        <f aca="false">$G$1*G304</f>
        <v>207384.967992689</v>
      </c>
      <c r="G304" s="0" t="n">
        <f aca="false">TANH($E$1*B304*86.4/$G$1)</f>
        <v>0.691283226642298</v>
      </c>
      <c r="H304" s="0" t="n">
        <f aca="false">COSH($E$1*B304*86.4/$G$1)</f>
        <v>1.3839223269661</v>
      </c>
      <c r="I304" s="0" t="n">
        <f aca="false">(($G$1^2*1000)/($E$1*$I$1))*(H304-1)</f>
        <v>0.372296548196267</v>
      </c>
      <c r="J304" s="0" t="n">
        <f aca="false">$J$3*EXP(-$E$1*B304*86.4/$G$1)</f>
        <v>427.240035358658</v>
      </c>
      <c r="K304" s="0" t="n">
        <f aca="false">J303-J304</f>
        <v>1.20877949330094</v>
      </c>
    </row>
    <row r="305" customFormat="false" ht="12.8" hidden="false" customHeight="false" outlineLevel="0" collapsed="false">
      <c r="A305" s="0" t="n">
        <v>1</v>
      </c>
      <c r="B305" s="0" t="n">
        <f aca="false">B304+A305</f>
        <v>302</v>
      </c>
      <c r="C305" s="0" t="n">
        <f aca="false">$C$3+($G$1/($E$1*86.4))*SINH($E$1*B305*86.4/$G$1)</f>
        <v>44944.0003125714</v>
      </c>
      <c r="D305" s="0" t="n">
        <f aca="false">C305-$C$3-B305</f>
        <v>38.0003125713847</v>
      </c>
      <c r="E305" s="0" t="n">
        <f aca="false">$E$1*B305*86.4</f>
        <v>255970.368</v>
      </c>
      <c r="F305" s="0" t="n">
        <f aca="false">$G$1*G305</f>
        <v>207826.651095493</v>
      </c>
      <c r="G305" s="0" t="n">
        <f aca="false">TANH($E$1*B305*86.4/$G$1)</f>
        <v>0.692755503651643</v>
      </c>
      <c r="H305" s="0" t="n">
        <f aca="false">COSH($E$1*B305*86.4/$G$1)</f>
        <v>1.38663074928775</v>
      </c>
      <c r="I305" s="0" t="n">
        <f aca="false">(($G$1^2*1000)/($E$1*$I$1))*(H305-1)</f>
        <v>0.374922955181702</v>
      </c>
      <c r="J305" s="0" t="n">
        <f aca="false">$J$3*EXP(-$E$1*B305*86.4/$G$1)</f>
        <v>426.03466618606</v>
      </c>
      <c r="K305" s="0" t="n">
        <f aca="false">J304-J305</f>
        <v>1.20536917259813</v>
      </c>
    </row>
    <row r="306" customFormat="false" ht="12.8" hidden="false" customHeight="false" outlineLevel="0" collapsed="false">
      <c r="A306" s="0" t="n">
        <v>1</v>
      </c>
      <c r="B306" s="0" t="n">
        <f aca="false">B305+A306</f>
        <v>303</v>
      </c>
      <c r="C306" s="0" t="n">
        <f aca="false">$C$3+($G$1/($E$1*86.4))*SINH($E$1*B306*86.4/$G$1)</f>
        <v>44945.3883021428</v>
      </c>
      <c r="D306" s="0" t="n">
        <f aca="false">C306-$C$3-B306</f>
        <v>38.388302142761</v>
      </c>
      <c r="E306" s="0" t="n">
        <f aca="false">$E$1*B306*86.4</f>
        <v>256817.952</v>
      </c>
      <c r="F306" s="0" t="n">
        <f aca="false">$G$1*G306</f>
        <v>208266.608630907</v>
      </c>
      <c r="G306" s="0" t="n">
        <f aca="false">TANH($E$1*B306*86.4/$G$1)</f>
        <v>0.694222028769691</v>
      </c>
      <c r="H306" s="0" t="n">
        <f aca="false">COSH($E$1*B306*86.4/$G$1)</f>
        <v>1.38935023999055</v>
      </c>
      <c r="I306" s="0" t="n">
        <f aca="false">(($G$1^2*1000)/($E$1*$I$1))*(H306-1)</f>
        <v>0.377560095380094</v>
      </c>
      <c r="J306" s="0" t="n">
        <f aca="false">$J$3*EXP(-$E$1*B306*86.4/$G$1)</f>
        <v>424.832697712652</v>
      </c>
      <c r="K306" s="0" t="n">
        <f aca="false">J305-J306</f>
        <v>1.20196847340787</v>
      </c>
    </row>
    <row r="307" customFormat="false" ht="12.8" hidden="false" customHeight="false" outlineLevel="0" collapsed="false">
      <c r="A307" s="0" t="n">
        <v>1</v>
      </c>
      <c r="B307" s="0" t="n">
        <f aca="false">B306+A307</f>
        <v>304</v>
      </c>
      <c r="C307" s="0" t="n">
        <f aca="false">$C$3+($G$1/($E$1*86.4))*SINH($E$1*B307*86.4/$G$1)</f>
        <v>44946.7790167481</v>
      </c>
      <c r="D307" s="0" t="n">
        <f aca="false">C307-$C$3-B307</f>
        <v>38.7790167480634</v>
      </c>
      <c r="E307" s="0" t="n">
        <f aca="false">$E$1*B307*86.4</f>
        <v>257665.536</v>
      </c>
      <c r="F307" s="0" t="n">
        <f aca="false">$G$1*G307</f>
        <v>208704.843708842</v>
      </c>
      <c r="G307" s="0" t="n">
        <f aca="false">TANH($E$1*B307*86.4/$G$1)</f>
        <v>0.695682812362806</v>
      </c>
      <c r="H307" s="0" t="n">
        <f aca="false">COSH($E$1*B307*86.4/$G$1)</f>
        <v>1.39208082078204</v>
      </c>
      <c r="I307" s="0" t="n">
        <f aca="false">(($G$1^2*1000)/($E$1*$I$1))*(H307-1)</f>
        <v>0.380207989841655</v>
      </c>
      <c r="J307" s="0" t="n">
        <f aca="false">$J$3*EXP(-$E$1*B307*86.4/$G$1)</f>
        <v>423.634120344067</v>
      </c>
      <c r="K307" s="0" t="n">
        <f aca="false">J306-J307</f>
        <v>1.19857736858535</v>
      </c>
    </row>
    <row r="308" customFormat="false" ht="12.8" hidden="false" customHeight="false" outlineLevel="0" collapsed="false">
      <c r="A308" s="0" t="n">
        <v>1</v>
      </c>
      <c r="B308" s="0" t="n">
        <f aca="false">B307+A308</f>
        <v>305</v>
      </c>
      <c r="C308" s="0" t="n">
        <f aca="false">$C$3+($G$1/($E$1*86.4))*SINH($E$1*B308*86.4/$G$1)</f>
        <v>44948.1724674883</v>
      </c>
      <c r="D308" s="0" t="n">
        <f aca="false">C308-$C$3-B308</f>
        <v>39.1724674882862</v>
      </c>
      <c r="E308" s="0" t="n">
        <f aca="false">$E$1*B308*86.4</f>
        <v>258513.12</v>
      </c>
      <c r="F308" s="0" t="n">
        <f aca="false">$G$1*G308</f>
        <v>209141.359469683</v>
      </c>
      <c r="G308" s="0" t="n">
        <f aca="false">TANH($E$1*B308*86.4/$G$1)</f>
        <v>0.697137864898943</v>
      </c>
      <c r="H308" s="0" t="n">
        <f aca="false">COSH($E$1*B308*86.4/$G$1)</f>
        <v>1.3948225134583</v>
      </c>
      <c r="I308" s="0" t="n">
        <f aca="false">(($G$1^2*1000)/($E$1*$I$1))*(H308-1)</f>
        <v>0.382866659702443</v>
      </c>
      <c r="J308" s="0" t="n">
        <f aca="false">$J$3*EXP(-$E$1*B308*86.4/$G$1)</f>
        <v>422.438924513005</v>
      </c>
      <c r="K308" s="0" t="n">
        <f aca="false">J307-J308</f>
        <v>1.19519583106194</v>
      </c>
    </row>
    <row r="309" customFormat="false" ht="12.8" hidden="false" customHeight="false" outlineLevel="0" collapsed="false">
      <c r="A309" s="0" t="n">
        <v>1</v>
      </c>
      <c r="B309" s="0" t="n">
        <f aca="false">B308+A309</f>
        <v>306</v>
      </c>
      <c r="C309" s="0" t="n">
        <f aca="false">$C$3+($G$1/($E$1*86.4))*SINH($E$1*B309*86.4/$G$1)</f>
        <v>44949.5686654862</v>
      </c>
      <c r="D309" s="0" t="n">
        <f aca="false">C309-$C$3-B309</f>
        <v>39.5686654862366</v>
      </c>
      <c r="E309" s="0" t="n">
        <f aca="false">$E$1*B309*86.4</f>
        <v>259360.704</v>
      </c>
      <c r="F309" s="0" t="n">
        <f aca="false">$G$1*G309</f>
        <v>209576.159083904</v>
      </c>
      <c r="G309" s="0" t="n">
        <f aca="false">TANH($E$1*B309*86.4/$G$1)</f>
        <v>0.698587196946348</v>
      </c>
      <c r="H309" s="0" t="n">
        <f aca="false">COSH($E$1*B309*86.4/$G$1)</f>
        <v>1.39757533990411</v>
      </c>
      <c r="I309" s="0" t="n">
        <f aca="false">(($G$1^2*1000)/($E$1*$I$1))*(H309-1)</f>
        <v>0.385536126184525</v>
      </c>
      <c r="J309" s="0" t="n">
        <f aca="false">$J$3*EXP(-$E$1*B309*86.4/$G$1)</f>
        <v>421.24710067916</v>
      </c>
      <c r="K309" s="0" t="n">
        <f aca="false">J308-J309</f>
        <v>1.19182383384555</v>
      </c>
    </row>
    <row r="310" customFormat="false" ht="12.8" hidden="false" customHeight="false" outlineLevel="0" collapsed="false">
      <c r="A310" s="0" t="n">
        <v>1</v>
      </c>
      <c r="B310" s="0" t="n">
        <f aca="false">B309+A310</f>
        <v>307</v>
      </c>
      <c r="C310" s="0" t="n">
        <f aca="false">$C$3+($G$1/($E$1*86.4))*SINH($E$1*B310*86.4/$G$1)</f>
        <v>44950.9676218867</v>
      </c>
      <c r="D310" s="0" t="n">
        <f aca="false">C310-$C$3-B310</f>
        <v>39.9676218866734</v>
      </c>
      <c r="E310" s="0" t="n">
        <f aca="false">$E$1*B310*86.4</f>
        <v>260208.288</v>
      </c>
      <c r="F310" s="0" t="n">
        <f aca="false">$G$1*G310</f>
        <v>210009.245751679</v>
      </c>
      <c r="G310" s="0" t="n">
        <f aca="false">TANH($E$1*B310*86.4/$G$1)</f>
        <v>0.700030819172264</v>
      </c>
      <c r="H310" s="0" t="n">
        <f aca="false">COSH($E$1*B310*86.4/$G$1)</f>
        <v>1.40033932209312</v>
      </c>
      <c r="I310" s="0" t="n">
        <f aca="false">(($G$1^2*1000)/($E$1*$I$1))*(H310-1)</f>
        <v>0.388216410596148</v>
      </c>
      <c r="J310" s="0" t="n">
        <f aca="false">$J$3*EXP(-$E$1*B310*86.4/$G$1)</f>
        <v>420.05863932914</v>
      </c>
      <c r="K310" s="0" t="n">
        <f aca="false">J309-J310</f>
        <v>1.18846135001996</v>
      </c>
    </row>
    <row r="311" customFormat="false" ht="12.8" hidden="false" customHeight="false" outlineLevel="0" collapsed="false">
      <c r="A311" s="0" t="n">
        <v>1</v>
      </c>
      <c r="B311" s="0" t="n">
        <f aca="false">B310+A311</f>
        <v>308</v>
      </c>
      <c r="C311" s="0" t="n">
        <f aca="false">$C$3+($G$1/($E$1*86.4))*SINH($E$1*B311*86.4/$G$1)</f>
        <v>44952.3693478564</v>
      </c>
      <c r="D311" s="0" t="n">
        <f aca="false">C311-$C$3-B311</f>
        <v>40.3693478563582</v>
      </c>
      <c r="E311" s="0" t="n">
        <f aca="false">$E$1*B311*86.4</f>
        <v>261055.872</v>
      </c>
      <c r="F311" s="0" t="n">
        <f aca="false">$G$1*G311</f>
        <v>210440.622702491</v>
      </c>
      <c r="G311" s="0" t="n">
        <f aca="false">TANH($E$1*B311*86.4/$G$1)</f>
        <v>0.701468742341637</v>
      </c>
      <c r="H311" s="0" t="n">
        <f aca="false">COSH($E$1*B311*86.4/$G$1)</f>
        <v>1.403114482088</v>
      </c>
      <c r="I311" s="0" t="n">
        <f aca="false">(($G$1^2*1000)/($E$1*$I$1))*(H311-1)</f>
        <v>0.390907534331913</v>
      </c>
      <c r="J311" s="0" t="n">
        <f aca="false">$J$3*EXP(-$E$1*B311*86.4/$G$1)</f>
        <v>418.873530976394</v>
      </c>
      <c r="K311" s="0" t="n">
        <f aca="false">J310-J311</f>
        <v>1.18510835274554</v>
      </c>
    </row>
    <row r="312" customFormat="false" ht="12.8" hidden="false" customHeight="false" outlineLevel="0" collapsed="false">
      <c r="A312" s="0" t="n">
        <v>1</v>
      </c>
      <c r="B312" s="0" t="n">
        <f aca="false">B311+A312</f>
        <v>309</v>
      </c>
      <c r="C312" s="0" t="n">
        <f aca="false">$C$3+($G$1/($E$1*86.4))*SINH($E$1*B312*86.4/$G$1)</f>
        <v>44953.7738545842</v>
      </c>
      <c r="D312" s="0" t="n">
        <f aca="false">C312-$C$3-B312</f>
        <v>40.7738545841639</v>
      </c>
      <c r="E312" s="0" t="n">
        <f aca="false">$E$1*B312*86.4</f>
        <v>261903.456</v>
      </c>
      <c r="F312" s="0" t="n">
        <f aca="false">$G$1*G312</f>
        <v>210870.29319475</v>
      </c>
      <c r="G312" s="0" t="n">
        <f aca="false">TANH($E$1*B312*86.4/$G$1)</f>
        <v>0.702900977315833</v>
      </c>
      <c r="H312" s="0" t="n">
        <f aca="false">COSH($E$1*B312*86.4/$G$1)</f>
        <v>1.40590084204069</v>
      </c>
      <c r="I312" s="0" t="n">
        <f aca="false">(($G$1^2*1000)/($E$1*$I$1))*(H312-1)</f>
        <v>0.393609518872941</v>
      </c>
      <c r="J312" s="0" t="n">
        <f aca="false">$J$3*EXP(-$E$1*B312*86.4/$G$1)</f>
        <v>417.691766161137</v>
      </c>
      <c r="K312" s="0" t="n">
        <f aca="false">J311-J312</f>
        <v>1.18176481525745</v>
      </c>
    </row>
    <row r="313" customFormat="false" ht="12.8" hidden="false" customHeight="false" outlineLevel="0" collapsed="false">
      <c r="A313" s="0" t="n">
        <v>1</v>
      </c>
      <c r="B313" s="0" t="n">
        <f aca="false">B312+A313</f>
        <v>310</v>
      </c>
      <c r="C313" s="0" t="n">
        <f aca="false">$C$3+($G$1/($E$1*86.4))*SINH($E$1*B313*86.4/$G$1)</f>
        <v>44955.1811532812</v>
      </c>
      <c r="D313" s="0" t="n">
        <f aca="false">C313-$C$3-B313</f>
        <v>41.1811532811698</v>
      </c>
      <c r="E313" s="0" t="n">
        <f aca="false">$E$1*B313*86.4</f>
        <v>262751.04</v>
      </c>
      <c r="F313" s="0" t="n">
        <f aca="false">$G$1*G313</f>
        <v>211298.260515406</v>
      </c>
      <c r="G313" s="0" t="n">
        <f aca="false">TANH($E$1*B313*86.4/$G$1)</f>
        <v>0.704327535051353</v>
      </c>
      <c r="H313" s="0" t="n">
        <f aca="false">COSH($E$1*B313*86.4/$G$1)</f>
        <v>1.40869842419249</v>
      </c>
      <c r="I313" s="0" t="n">
        <f aca="false">(($G$1^2*1000)/($E$1*$I$1))*(H313-1)</f>
        <v>0.396322385787045</v>
      </c>
      <c r="J313" s="0" t="n">
        <f aca="false">$J$3*EXP(-$E$1*B313*86.4/$G$1)</f>
        <v>416.513335450269</v>
      </c>
      <c r="K313" s="0" t="n">
        <f aca="false">J312-J313</f>
        <v>1.1784307108673</v>
      </c>
    </row>
    <row r="314" customFormat="false" ht="12.8" hidden="false" customHeight="false" outlineLevel="0" collapsed="false">
      <c r="A314" s="0" t="n">
        <v>1</v>
      </c>
      <c r="B314" s="0" t="n">
        <f aca="false">B313+A314</f>
        <v>311</v>
      </c>
      <c r="C314" s="0" t="n">
        <f aca="false">$C$3+($G$1/($E$1*86.4))*SINH($E$1*B314*86.4/$G$1)</f>
        <v>44956.5912551807</v>
      </c>
      <c r="D314" s="0" t="n">
        <f aca="false">C314-$C$3-B314</f>
        <v>41.5912551807269</v>
      </c>
      <c r="E314" s="0" t="n">
        <f aca="false">$E$1*B314*86.4</f>
        <v>263598.624</v>
      </c>
      <c r="F314" s="0" t="n">
        <f aca="false">$G$1*G314</f>
        <v>211724.527979568</v>
      </c>
      <c r="G314" s="0" t="n">
        <f aca="false">TANH($E$1*B314*86.4/$G$1)</f>
        <v>0.70574842659856</v>
      </c>
      <c r="H314" s="0" t="n">
        <f aca="false">COSH($E$1*B314*86.4/$G$1)</f>
        <v>1.41150725087431</v>
      </c>
      <c r="I314" s="0" t="n">
        <f aca="false">(($G$1^2*1000)/($E$1*$I$1))*(H314-1)</f>
        <v>0.399046156728908</v>
      </c>
      <c r="J314" s="0" t="n">
        <f aca="false">$J$3*EXP(-$E$1*B314*86.4/$G$1)</f>
        <v>415.338229437308</v>
      </c>
      <c r="K314" s="0" t="n">
        <f aca="false">J313-J314</f>
        <v>1.17510601296135</v>
      </c>
    </row>
    <row r="315" customFormat="false" ht="12.8" hidden="false" customHeight="false" outlineLevel="0" collapsed="false">
      <c r="A315" s="0" t="n">
        <v>1</v>
      </c>
      <c r="B315" s="0" t="n">
        <f aca="false">B314+A315</f>
        <v>312</v>
      </c>
      <c r="C315" s="0" t="n">
        <f aca="false">$C$3+($G$1/($E$1*86.4))*SINH($E$1*B315*86.4/$G$1)</f>
        <v>44958.0041715386</v>
      </c>
      <c r="D315" s="0" t="n">
        <f aca="false">C315-$C$3-B315</f>
        <v>42.0041715385669</v>
      </c>
      <c r="E315" s="0" t="n">
        <f aca="false">$E$1*B315*86.4</f>
        <v>264446.208</v>
      </c>
      <c r="F315" s="0" t="n">
        <f aca="false">$G$1*G315</f>
        <v>212149.09893012</v>
      </c>
      <c r="G315" s="0" t="n">
        <f aca="false">TANH($E$1*B315*86.4/$G$1)</f>
        <v>0.707163663100401</v>
      </c>
      <c r="H315" s="0" t="n">
        <f aca="false">COSH($E$1*B315*86.4/$G$1)</f>
        <v>1.41432734450679</v>
      </c>
      <c r="I315" s="0" t="n">
        <f aca="false">(($G$1^2*1000)/($E$1*$I$1))*(H315-1)</f>
        <v>0.401780853440244</v>
      </c>
      <c r="J315" s="0" t="n">
        <f aca="false">$J$3*EXP(-$E$1*B315*86.4/$G$1)</f>
        <v>414.166438742307</v>
      </c>
      <c r="K315" s="0" t="n">
        <f aca="false">J314-J315</f>
        <v>1.17179069500094</v>
      </c>
    </row>
    <row r="316" customFormat="false" ht="12.8" hidden="false" customHeight="false" outlineLevel="0" collapsed="false">
      <c r="A316" s="0" t="n">
        <v>1</v>
      </c>
      <c r="B316" s="0" t="n">
        <f aca="false">B315+A316</f>
        <v>313</v>
      </c>
      <c r="C316" s="0" t="n">
        <f aca="false">$C$3+($G$1/($E$1*86.4))*SINH($E$1*B316*86.4/$G$1)</f>
        <v>44959.4199136329</v>
      </c>
      <c r="D316" s="0" t="n">
        <f aca="false">C316-$C$3-B316</f>
        <v>42.4199136328898</v>
      </c>
      <c r="E316" s="0" t="n">
        <f aca="false">$E$1*B316*86.4</f>
        <v>265293.792</v>
      </c>
      <c r="F316" s="0" t="n">
        <f aca="false">$G$1*G316</f>
        <v>212571.976737344</v>
      </c>
      <c r="G316" s="0" t="n">
        <f aca="false">TANH($E$1*B316*86.4/$G$1)</f>
        <v>0.708573255791146</v>
      </c>
      <c r="H316" s="0" t="n">
        <f aca="false">COSH($E$1*B316*86.4/$G$1)</f>
        <v>1.41715872760052</v>
      </c>
      <c r="I316" s="0" t="n">
        <f aca="false">(($G$1^2*1000)/($E$1*$I$1))*(H316-1)</f>
        <v>0.404526497749986</v>
      </c>
      <c r="J316" s="0" t="n">
        <f aca="false">$J$3*EXP(-$E$1*B316*86.4/$G$1)</f>
        <v>412.997954011784</v>
      </c>
      <c r="K316" s="0" t="n">
        <f aca="false">J315-J316</f>
        <v>1.16848473052301</v>
      </c>
    </row>
    <row r="317" customFormat="false" ht="12.8" hidden="false" customHeight="false" outlineLevel="0" collapsed="false">
      <c r="A317" s="0" t="n">
        <v>1</v>
      </c>
      <c r="B317" s="0" t="n">
        <f aca="false">B316+A317</f>
        <v>314</v>
      </c>
      <c r="C317" s="0" t="n">
        <f aca="false">$C$3+($G$1/($E$1*86.4))*SINH($E$1*B317*86.4/$G$1)</f>
        <v>44960.8384927645</v>
      </c>
      <c r="D317" s="0" t="n">
        <f aca="false">C317-$C$3-B317</f>
        <v>42.8384927644584</v>
      </c>
      <c r="E317" s="0" t="n">
        <f aca="false">$E$1*B317*86.4</f>
        <v>266141.376</v>
      </c>
      <c r="F317" s="0" t="n">
        <f aca="false">$G$1*G317</f>
        <v>212993.164798536</v>
      </c>
      <c r="G317" s="0" t="n">
        <f aca="false">TANH($E$1*B317*86.4/$G$1)</f>
        <v>0.70997721599512</v>
      </c>
      <c r="H317" s="0" t="n">
        <f aca="false">COSH($E$1*B317*86.4/$G$1)</f>
        <v>1.42000142275621</v>
      </c>
      <c r="I317" s="0" t="n">
        <f aca="false">(($G$1^2*1000)/($E$1*$I$1))*(H317-1)</f>
        <v>0.40728311157445</v>
      </c>
      <c r="J317" s="0" t="n">
        <f aca="false">$J$3*EXP(-$E$1*B317*86.4/$G$1)</f>
        <v>411.832765918646</v>
      </c>
      <c r="K317" s="0" t="n">
        <f aca="false">J316-J317</f>
        <v>1.16518809313828</v>
      </c>
    </row>
    <row r="318" customFormat="false" ht="12.8" hidden="false" customHeight="false" outlineLevel="0" collapsed="false">
      <c r="A318" s="0" t="n">
        <v>1</v>
      </c>
      <c r="B318" s="0" t="n">
        <f aca="false">B317+A318</f>
        <v>315</v>
      </c>
      <c r="C318" s="0" t="n">
        <f aca="false">$C$3+($G$1/($E$1*86.4))*SINH($E$1*B318*86.4/$G$1)</f>
        <v>44962.2599202567</v>
      </c>
      <c r="D318" s="0" t="n">
        <f aca="false">C318-$C$3-B318</f>
        <v>43.2599202566562</v>
      </c>
      <c r="E318" s="0" t="n">
        <f aca="false">$E$1*B318*86.4</f>
        <v>266988.96</v>
      </c>
      <c r="F318" s="0" t="n">
        <f aca="false">$G$1*G318</f>
        <v>213412.666537635</v>
      </c>
      <c r="G318" s="0" t="n">
        <f aca="false">TANH($E$1*B318*86.4/$G$1)</f>
        <v>0.711375555125452</v>
      </c>
      <c r="H318" s="0" t="n">
        <f aca="false">COSH($E$1*B318*86.4/$G$1)</f>
        <v>1.42285545266484</v>
      </c>
      <c r="I318" s="0" t="n">
        <f aca="false">(($G$1^2*1000)/($E$1*$I$1))*(H318-1)</f>
        <v>0.410050716917511</v>
      </c>
      <c r="J318" s="0" t="n">
        <f aca="false">$J$3*EXP(-$E$1*B318*86.4/$G$1)</f>
        <v>410.670865162113</v>
      </c>
      <c r="K318" s="0" t="n">
        <f aca="false">J317-J318</f>
        <v>1.16190075653225</v>
      </c>
    </row>
    <row r="319" customFormat="false" ht="12.8" hidden="false" customHeight="false" outlineLevel="0" collapsed="false">
      <c r="A319" s="0" t="n">
        <v>1</v>
      </c>
      <c r="B319" s="0" t="n">
        <f aca="false">B318+A319</f>
        <v>316</v>
      </c>
      <c r="C319" s="0" t="n">
        <f aca="false">$C$3+($G$1/($E$1*86.4))*SINH($E$1*B319*86.4/$G$1)</f>
        <v>44963.6842074556</v>
      </c>
      <c r="D319" s="0" t="n">
        <f aca="false">C319-$C$3-B319</f>
        <v>43.6842074556262</v>
      </c>
      <c r="E319" s="0" t="n">
        <f aca="false">$E$1*B319*86.4</f>
        <v>267836.544</v>
      </c>
      <c r="F319" s="0" t="n">
        <f aca="false">$G$1*G319</f>
        <v>213830.485404844</v>
      </c>
      <c r="G319" s="0" t="n">
        <f aca="false">TANH($E$1*B319*86.4/$G$1)</f>
        <v>0.712768284682814</v>
      </c>
      <c r="H319" s="0" t="n">
        <f aca="false">COSH($E$1*B319*86.4/$G$1)</f>
        <v>1.42572084010789</v>
      </c>
      <c r="I319" s="0" t="n">
        <f aca="false">(($G$1^2*1000)/($E$1*$I$1))*(H319-1)</f>
        <v>0.412829335870785</v>
      </c>
      <c r="J319" s="0" t="n">
        <f aca="false">$J$3*EXP(-$E$1*B319*86.4/$G$1)</f>
        <v>409.512242467648</v>
      </c>
      <c r="K319" s="0" t="n">
        <f aca="false">J318-J319</f>
        <v>1.15862269446501</v>
      </c>
    </row>
    <row r="320" customFormat="false" ht="12.8" hidden="false" customHeight="false" outlineLevel="0" collapsed="false">
      <c r="A320" s="0" t="n">
        <v>1</v>
      </c>
      <c r="B320" s="0" t="n">
        <f aca="false">B319+A320</f>
        <v>317</v>
      </c>
      <c r="C320" s="0" t="n">
        <f aca="false">$C$3+($G$1/($E$1*86.4))*SINH($E$1*B320*86.4/$G$1)</f>
        <v>44965.1113657303</v>
      </c>
      <c r="D320" s="0" t="n">
        <f aca="false">C320-$C$3-B320</f>
        <v>44.1113657303358</v>
      </c>
      <c r="E320" s="0" t="n">
        <f aca="false">$E$1*B320*86.4</f>
        <v>268684.128</v>
      </c>
      <c r="F320" s="0" t="n">
        <f aca="false">$G$1*G320</f>
        <v>214246.624876255</v>
      </c>
      <c r="G320" s="0" t="n">
        <f aca="false">TANH($E$1*B320*86.4/$G$1)</f>
        <v>0.714155416254184</v>
      </c>
      <c r="H320" s="0" t="n">
        <f aca="false">COSH($E$1*B320*86.4/$G$1)</f>
        <v>1.42859760795749</v>
      </c>
      <c r="I320" s="0" t="n">
        <f aca="false">(($G$1^2*1000)/($E$1*$I$1))*(H320-1)</f>
        <v>0.415618990613796</v>
      </c>
      <c r="J320" s="0" t="n">
        <f aca="false">$J$3*EXP(-$E$1*B320*86.4/$G$1)</f>
        <v>408.356888586878</v>
      </c>
      <c r="K320" s="0" t="n">
        <f aca="false">J319-J320</f>
        <v>1.15535388077012</v>
      </c>
    </row>
    <row r="321" customFormat="false" ht="12.8" hidden="false" customHeight="false" outlineLevel="0" collapsed="false">
      <c r="A321" s="0" t="n">
        <v>1</v>
      </c>
      <c r="B321" s="0" t="n">
        <f aca="false">B320+A321</f>
        <v>318</v>
      </c>
      <c r="C321" s="0" t="n">
        <f aca="false">$C$3+($G$1/($E$1*86.4))*SINH($E$1*B321*86.4/$G$1)</f>
        <v>44966.5414064727</v>
      </c>
      <c r="D321" s="0" t="n">
        <f aca="false">C321-$C$3-B321</f>
        <v>44.5414064726647</v>
      </c>
      <c r="E321" s="0" t="n">
        <f aca="false">$E$1*B321*86.4</f>
        <v>269531.712</v>
      </c>
      <c r="F321" s="0" t="n">
        <f aca="false">$G$1*G321</f>
        <v>214661.088453478</v>
      </c>
      <c r="G321" s="0" t="n">
        <f aca="false">TANH($E$1*B321*86.4/$G$1)</f>
        <v>0.715536961511595</v>
      </c>
      <c r="H321" s="0" t="n">
        <f aca="false">COSH($E$1*B321*86.4/$G$1)</f>
        <v>1.43148577917662</v>
      </c>
      <c r="I321" s="0" t="n">
        <f aca="false">(($G$1^2*1000)/($E$1*$I$1))*(H321-1)</f>
        <v>0.418419703414163</v>
      </c>
      <c r="J321" s="0" t="n">
        <f aca="false">$J$3*EXP(-$E$1*B321*86.4/$G$1)</f>
        <v>407.204794297523</v>
      </c>
      <c r="K321" s="0" t="n">
        <f aca="false">J320-J321</f>
        <v>1.15209428935543</v>
      </c>
    </row>
    <row r="322" customFormat="false" ht="12.8" hidden="false" customHeight="false" outlineLevel="0" collapsed="false">
      <c r="A322" s="0" t="n">
        <v>1</v>
      </c>
      <c r="B322" s="0" t="n">
        <f aca="false">B321+A322</f>
        <v>319</v>
      </c>
      <c r="C322" s="0" t="n">
        <f aca="false">$C$3+($G$1/($E$1*86.4))*SINH($E$1*B322*86.4/$G$1)</f>
        <v>44967.9743410975</v>
      </c>
      <c r="D322" s="0" t="n">
        <f aca="false">C322-$C$3-B322</f>
        <v>44.9743410974988</v>
      </c>
      <c r="E322" s="0" t="n">
        <f aca="false">$E$1*B322*86.4</f>
        <v>270379.296</v>
      </c>
      <c r="F322" s="0" t="n">
        <f aca="false">$G$1*G322</f>
        <v>215073.879663272</v>
      </c>
      <c r="G322" s="0" t="n">
        <f aca="false">TANH($E$1*B322*86.4/$G$1)</f>
        <v>0.716912932210905</v>
      </c>
      <c r="H322" s="0" t="n">
        <f aca="false">COSH($E$1*B322*86.4/$G$1)</f>
        <v>1.43438537681926</v>
      </c>
      <c r="I322" s="0" t="n">
        <f aca="false">(($G$1^2*1000)/($E$1*$I$1))*(H322-1)</f>
        <v>0.42123149662777</v>
      </c>
      <c r="J322" s="0" t="n">
        <f aca="false">$J$3*EXP(-$E$1*B322*86.4/$G$1)</f>
        <v>406.055950403321</v>
      </c>
      <c r="K322" s="0" t="n">
        <f aca="false">J321-J322</f>
        <v>1.14884389420178</v>
      </c>
    </row>
    <row r="323" customFormat="false" ht="12.8" hidden="false" customHeight="false" outlineLevel="0" collapsed="false">
      <c r="A323" s="0" t="n">
        <v>1</v>
      </c>
      <c r="B323" s="0" t="n">
        <f aca="false">B322+A323</f>
        <v>320</v>
      </c>
      <c r="C323" s="0" t="n">
        <f aca="false">$C$3+($G$1/($E$1*86.4))*SINH($E$1*B323*86.4/$G$1)</f>
        <v>44969.4101810428</v>
      </c>
      <c r="D323" s="0" t="n">
        <f aca="false">C323-$C$3-B323</f>
        <v>45.4101810428256</v>
      </c>
      <c r="E323" s="0" t="n">
        <f aca="false">$E$1*B323*86.4</f>
        <v>271226.88</v>
      </c>
      <c r="F323" s="0" t="n">
        <f aca="false">$G$1*G323</f>
        <v>215485.002057169</v>
      </c>
      <c r="G323" s="0" t="n">
        <f aca="false">TANH($E$1*B323*86.4/$G$1)</f>
        <v>0.718283340190564</v>
      </c>
      <c r="H323" s="0" t="n">
        <f aca="false">COSH($E$1*B323*86.4/$G$1)</f>
        <v>1.43729642403063</v>
      </c>
      <c r="I323" s="0" t="n">
        <f aca="false">(($G$1^2*1000)/($E$1*$I$1))*(H323-1)</f>
        <v>0.424054392698946</v>
      </c>
      <c r="J323" s="0" t="n">
        <f aca="false">$J$3*EXP(-$E$1*B323*86.4/$G$1)</f>
        <v>404.910347733957</v>
      </c>
      <c r="K323" s="0" t="n">
        <f aca="false">J322-J323</f>
        <v>1.14560266936428</v>
      </c>
    </row>
    <row r="324" customFormat="false" ht="12.8" hidden="false" customHeight="false" outlineLevel="0" collapsed="false">
      <c r="A324" s="0" t="n">
        <v>1</v>
      </c>
      <c r="B324" s="0" t="n">
        <f aca="false">B323+A324</f>
        <v>321</v>
      </c>
      <c r="C324" s="0" t="n">
        <f aca="false">$C$3+($G$1/($E$1*86.4))*SINH($E$1*B324*86.4/$G$1)</f>
        <v>44970.8489377698</v>
      </c>
      <c r="D324" s="0" t="n">
        <f aca="false">C324-$C$3-B324</f>
        <v>45.8489377698279</v>
      </c>
      <c r="E324" s="0" t="n">
        <f aca="false">$E$1*B324*86.4</f>
        <v>272074.464</v>
      </c>
      <c r="F324" s="0" t="n">
        <f aca="false">$G$1*G324</f>
        <v>215894.459211116</v>
      </c>
      <c r="G324" s="0" t="n">
        <f aca="false">TANH($E$1*B324*86.4/$G$1)</f>
        <v>0.719648197370387</v>
      </c>
      <c r="H324" s="0" t="n">
        <f aca="false">COSH($E$1*B324*86.4/$G$1)</f>
        <v>1.44021894404733</v>
      </c>
      <c r="I324" s="0" t="n">
        <f aca="false">(($G$1^2*1000)/($E$1*$I$1))*(H324-1)</f>
        <v>0.426888414160649</v>
      </c>
      <c r="J324" s="0" t="n">
        <f aca="false">$J$3*EXP(-$E$1*B324*86.4/$G$1)</f>
        <v>403.767977144986</v>
      </c>
      <c r="K324" s="0" t="n">
        <f aca="false">J323-J324</f>
        <v>1.14237058897055</v>
      </c>
    </row>
    <row r="325" customFormat="false" ht="12.8" hidden="false" customHeight="false" outlineLevel="0" collapsed="false">
      <c r="A325" s="0" t="n">
        <v>1</v>
      </c>
      <c r="B325" s="0" t="n">
        <f aca="false">B324+A325</f>
        <v>322</v>
      </c>
      <c r="C325" s="0" t="n">
        <f aca="false">$C$3+($G$1/($E$1*86.4))*SINH($E$1*B325*86.4/$G$1)</f>
        <v>44972.290622763</v>
      </c>
      <c r="D325" s="0" t="n">
        <f aca="false">C325-$C$3-B325</f>
        <v>46.2906227629646</v>
      </c>
      <c r="E325" s="0" t="n">
        <f aca="false">$E$1*B325*86.4</f>
        <v>272922.048</v>
      </c>
      <c r="F325" s="0" t="n">
        <f aca="false">$G$1*G325</f>
        <v>216302.2547251</v>
      </c>
      <c r="G325" s="0" t="n">
        <f aca="false">TANH($E$1*B325*86.4/$G$1)</f>
        <v>0.721007515750333</v>
      </c>
      <c r="H325" s="0" t="n">
        <f aca="false">COSH($E$1*B325*86.4/$G$1)</f>
        <v>1.44315296019751</v>
      </c>
      <c r="I325" s="0" t="n">
        <f aca="false">(($G$1^2*1000)/($E$1*$I$1))*(H325-1)</f>
        <v>0.429733583634639</v>
      </c>
      <c r="J325" s="0" t="n">
        <f aca="false">$J$3*EXP(-$E$1*B325*86.4/$G$1)</f>
        <v>402.628829517765</v>
      </c>
      <c r="K325" s="0" t="n">
        <f aca="false">J324-J325</f>
        <v>1.13914762722141</v>
      </c>
    </row>
    <row r="326" customFormat="false" ht="12.8" hidden="false" customHeight="false" outlineLevel="0" collapsed="false">
      <c r="A326" s="0" t="n">
        <v>1</v>
      </c>
      <c r="B326" s="0" t="n">
        <f aca="false">B325+A326</f>
        <v>323</v>
      </c>
      <c r="C326" s="0" t="n">
        <f aca="false">$C$3+($G$1/($E$1*86.4))*SINH($E$1*B326*86.4/$G$1)</f>
        <v>44973.7352475301</v>
      </c>
      <c r="D326" s="0" t="n">
        <f aca="false">C326-$C$3-B326</f>
        <v>46.7352475300722</v>
      </c>
      <c r="E326" s="0" t="n">
        <f aca="false">$E$1*B326*86.4</f>
        <v>273769.632</v>
      </c>
      <c r="F326" s="0" t="n">
        <f aca="false">$G$1*G326</f>
        <v>216708.392222789</v>
      </c>
      <c r="G326" s="0" t="n">
        <f aca="false">TANH($E$1*B326*86.4/$G$1)</f>
        <v>0.722361307409297</v>
      </c>
      <c r="H326" s="0" t="n">
        <f aca="false">COSH($E$1*B326*86.4/$G$1)</f>
        <v>1.44609849590114</v>
      </c>
      <c r="I326" s="0" t="n">
        <f aca="false">(($G$1^2*1000)/($E$1*$I$1))*(H326-1)</f>
        <v>0.432589923831663</v>
      </c>
      <c r="J326" s="0" t="n">
        <f aca="false">$J$3*EXP(-$E$1*B326*86.4/$G$1)</f>
        <v>401.492895759374</v>
      </c>
      <c r="K326" s="0" t="n">
        <f aca="false">J325-J326</f>
        <v>1.13593375839076</v>
      </c>
    </row>
    <row r="327" customFormat="false" ht="12.8" hidden="false" customHeight="false" outlineLevel="0" collapsed="false">
      <c r="A327" s="0" t="n">
        <v>1</v>
      </c>
      <c r="B327" s="0" t="n">
        <f aca="false">B326+A327</f>
        <v>324</v>
      </c>
      <c r="C327" s="0" t="n">
        <f aca="false">$C$3+($G$1/($E$1*86.4))*SINH($E$1*B327*86.4/$G$1)</f>
        <v>44975.1828236025</v>
      </c>
      <c r="D327" s="0" t="n">
        <f aca="false">C327-$C$3-B327</f>
        <v>47.1828236024521</v>
      </c>
      <c r="E327" s="0" t="n">
        <f aca="false">$E$1*B327*86.4</f>
        <v>274617.216</v>
      </c>
      <c r="F327" s="0" t="n">
        <f aca="false">$G$1*G327</f>
        <v>217112.875351168</v>
      </c>
      <c r="G327" s="0" t="n">
        <f aca="false">TANH($E$1*B327*86.4/$G$1)</f>
        <v>0.723709584503893</v>
      </c>
      <c r="H327" s="0" t="n">
        <f aca="false">COSH($E$1*B327*86.4/$G$1)</f>
        <v>1.44905557467009</v>
      </c>
      <c r="I327" s="0" t="n">
        <f aca="false">(($G$1^2*1000)/($E$1*$I$1))*(H327-1)</f>
        <v>0.435457457551636</v>
      </c>
      <c r="J327" s="0" t="n">
        <f aca="false">$J$3*EXP(-$E$1*B327*86.4/$G$1)</f>
        <v>400.36016680255</v>
      </c>
      <c r="K327" s="0" t="n">
        <f aca="false">J326-J327</f>
        <v>1.13272895682451</v>
      </c>
    </row>
    <row r="328" customFormat="false" ht="12.8" hidden="false" customHeight="false" outlineLevel="0" collapsed="false">
      <c r="A328" s="0" t="n">
        <v>1</v>
      </c>
      <c r="B328" s="0" t="n">
        <f aca="false">B327+A328</f>
        <v>325</v>
      </c>
      <c r="C328" s="0" t="n">
        <f aca="false">$C$3+($G$1/($E$1*86.4))*SINH($E$1*B328*86.4/$G$1)</f>
        <v>44976.633362535</v>
      </c>
      <c r="D328" s="0" t="n">
        <f aca="false">C328-$C$3-B328</f>
        <v>47.6333625349653</v>
      </c>
      <c r="E328" s="0" t="n">
        <f aca="false">$E$1*B328*86.4</f>
        <v>275464.8</v>
      </c>
      <c r="F328" s="0" t="n">
        <f aca="false">$G$1*G328</f>
        <v>217515.707780177</v>
      </c>
      <c r="G328" s="0" t="n">
        <f aca="false">TANH($E$1*B328*86.4/$G$1)</f>
        <v>0.725052359267256</v>
      </c>
      <c r="H328" s="0" t="n">
        <f aca="false">COSH($E$1*B328*86.4/$G$1)</f>
        <v>1.45202422010841</v>
      </c>
      <c r="I328" s="0" t="n">
        <f aca="false">(($G$1^2*1000)/($E$1*$I$1))*(H328-1)</f>
        <v>0.438336207683821</v>
      </c>
      <c r="J328" s="0" t="n">
        <f aca="false">$J$3*EXP(-$E$1*B328*86.4/$G$1)</f>
        <v>399.230633605608</v>
      </c>
      <c r="K328" s="0" t="n">
        <f aca="false">J327-J328</f>
        <v>1.12953319694134</v>
      </c>
    </row>
    <row r="329" customFormat="false" ht="12.8" hidden="false" customHeight="false" outlineLevel="0" collapsed="false">
      <c r="A329" s="0" t="n">
        <v>1</v>
      </c>
      <c r="B329" s="0" t="n">
        <f aca="false">B328+A329</f>
        <v>326</v>
      </c>
      <c r="C329" s="0" t="n">
        <f aca="false">$C$3+($G$1/($E$1*86.4))*SINH($E$1*B329*86.4/$G$1)</f>
        <v>44978.0868759061</v>
      </c>
      <c r="D329" s="0" t="n">
        <f aca="false">C329-$C$3-B329</f>
        <v>48.0868759061268</v>
      </c>
      <c r="E329" s="0" t="n">
        <f aca="false">$E$1*B329*86.4</f>
        <v>276312.384</v>
      </c>
      <c r="F329" s="0" t="n">
        <f aca="false">$G$1*G329</f>
        <v>217916.893202353</v>
      </c>
      <c r="G329" s="0" t="n">
        <f aca="false">TANH($E$1*B329*86.4/$G$1)</f>
        <v>0.726389644007843</v>
      </c>
      <c r="H329" s="0" t="n">
        <f aca="false">COSH($E$1*B329*86.4/$G$1)</f>
        <v>1.45500445591243</v>
      </c>
      <c r="I329" s="0" t="n">
        <f aca="false">(($G$1^2*1000)/($E$1*$I$1))*(H329-1)</f>
        <v>0.441226197207012</v>
      </c>
      <c r="J329" s="0" t="n">
        <f aca="false">$J$3*EXP(-$E$1*B329*86.4/$G$1)</f>
        <v>398.104287152376</v>
      </c>
      <c r="K329" s="0" t="n">
        <f aca="false">J328-J329</f>
        <v>1.12634645323209</v>
      </c>
    </row>
    <row r="330" customFormat="false" ht="12.8" hidden="false" customHeight="false" outlineLevel="0" collapsed="false">
      <c r="A330" s="0" t="n">
        <v>1</v>
      </c>
      <c r="B330" s="0" t="n">
        <f aca="false">B329+A330</f>
        <v>327</v>
      </c>
      <c r="C330" s="0" t="n">
        <f aca="false">$C$3+($G$1/($E$1*86.4))*SINH($E$1*B330*86.4/$G$1)</f>
        <v>44979.5433753182</v>
      </c>
      <c r="D330" s="0" t="n">
        <f aca="false">C330-$C$3-B330</f>
        <v>48.5433753181787</v>
      </c>
      <c r="E330" s="0" t="n">
        <f aca="false">$E$1*B330*86.4</f>
        <v>277159.968</v>
      </c>
      <c r="F330" s="0" t="n">
        <f aca="false">$G$1*G330</f>
        <v>218316.435332472</v>
      </c>
      <c r="G330" s="0" t="n">
        <f aca="false">TANH($E$1*B330*86.4/$G$1)</f>
        <v>0.727721451108241</v>
      </c>
      <c r="H330" s="0" t="n">
        <f aca="false">COSH($E$1*B330*86.4/$G$1)</f>
        <v>1.45799630587106</v>
      </c>
      <c r="I330" s="0" t="n">
        <f aca="false">(($G$1^2*1000)/($E$1*$I$1))*(H330-1)</f>
        <v>0.44412744918972</v>
      </c>
      <c r="J330" s="0" t="n">
        <f aca="false">$J$3*EXP(-$E$1*B330*86.4/$G$1)</f>
        <v>396.981118452117</v>
      </c>
      <c r="K330" s="0" t="n">
        <f aca="false">J329-J330</f>
        <v>1.12316870025956</v>
      </c>
    </row>
    <row r="331" customFormat="false" ht="12.8" hidden="false" customHeight="false" outlineLevel="0" collapsed="false">
      <c r="A331" s="0" t="n">
        <v>1</v>
      </c>
      <c r="B331" s="0" t="n">
        <f aca="false">B330+A331</f>
        <v>328</v>
      </c>
      <c r="C331" s="0" t="n">
        <f aca="false">$C$3+($G$1/($E$1*86.4))*SINH($E$1*B331*86.4/$G$1)</f>
        <v>44981.0028723972</v>
      </c>
      <c r="D331" s="0" t="n">
        <f aca="false">C331-$C$3-B331</f>
        <v>49.0028723972137</v>
      </c>
      <c r="E331" s="0" t="n">
        <f aca="false">$E$1*B331*86.4</f>
        <v>278007.552</v>
      </c>
      <c r="F331" s="0" t="n">
        <f aca="false">$G$1*G331</f>
        <v>218714.337907195</v>
      </c>
      <c r="G331" s="0" t="n">
        <f aca="false">TANH($E$1*B331*86.4/$G$1)</f>
        <v>0.729047793023983</v>
      </c>
      <c r="H331" s="0" t="n">
        <f aca="false">COSH($E$1*B331*86.4/$G$1)</f>
        <v>1.46099979386585</v>
      </c>
      <c r="I331" s="0" t="n">
        <f aca="false">(($G$1^2*1000)/($E$1*$I$1))*(H331-1)</f>
        <v>0.447039986790355</v>
      </c>
      <c r="J331" s="0" t="n">
        <f aca="false">$J$3*EXP(-$E$1*B331*86.4/$G$1)</f>
        <v>395.861118539459</v>
      </c>
      <c r="K331" s="0" t="n">
        <f aca="false">J330-J331</f>
        <v>1.11999991265787</v>
      </c>
    </row>
    <row r="332" customFormat="false" ht="12.8" hidden="false" customHeight="false" outlineLevel="0" collapsed="false">
      <c r="A332" s="0" t="n">
        <v>1</v>
      </c>
      <c r="B332" s="0" t="n">
        <f aca="false">B331+A332</f>
        <v>329</v>
      </c>
      <c r="C332" s="0" t="n">
        <f aca="false">$C$3+($G$1/($E$1*86.4))*SINH($E$1*B332*86.4/$G$1)</f>
        <v>44982.4653787933</v>
      </c>
      <c r="D332" s="0" t="n">
        <f aca="false">C332-$C$3-B332</f>
        <v>49.4653787932475</v>
      </c>
      <c r="E332" s="0" t="n">
        <f aca="false">$E$1*B332*86.4</f>
        <v>278855.136</v>
      </c>
      <c r="F332" s="0" t="n">
        <f aca="false">$G$1*G332</f>
        <v>219110.60468471</v>
      </c>
      <c r="G332" s="0" t="n">
        <f aca="false">TANH($E$1*B332*86.4/$G$1)</f>
        <v>0.730368682282368</v>
      </c>
      <c r="H332" s="0" t="n">
        <f aca="false">COSH($E$1*B332*86.4/$G$1)</f>
        <v>1.4640149438713</v>
      </c>
      <c r="I332" s="0" t="n">
        <f aca="false">(($G$1^2*1000)/($E$1*$I$1))*(H332-1)</f>
        <v>0.449963833257409</v>
      </c>
      <c r="J332" s="0" t="n">
        <f aca="false">$J$3*EXP(-$E$1*B332*86.4/$G$1)</f>
        <v>394.744278474325</v>
      </c>
      <c r="K332" s="0" t="n">
        <f aca="false">J331-J332</f>
        <v>1.1168400651336</v>
      </c>
    </row>
    <row r="333" customFormat="false" ht="12.8" hidden="false" customHeight="false" outlineLevel="0" collapsed="false">
      <c r="A333" s="0" t="n">
        <v>1</v>
      </c>
      <c r="B333" s="0" t="n">
        <f aca="false">B332+A333</f>
        <v>330</v>
      </c>
      <c r="C333" s="0" t="n">
        <f aca="false">$C$3+($G$1/($E$1*86.4))*SINH($E$1*B333*86.4/$G$1)</f>
        <v>44983.9309061803</v>
      </c>
      <c r="D333" s="0" t="n">
        <f aca="false">C333-$C$3-B333</f>
        <v>49.9309061803142</v>
      </c>
      <c r="E333" s="0" t="n">
        <f aca="false">$E$1*B333*86.4</f>
        <v>279702.72</v>
      </c>
      <c r="F333" s="0" t="n">
        <f aca="false">$G$1*G333</f>
        <v>219505.239444385</v>
      </c>
      <c r="G333" s="0" t="n">
        <f aca="false">TANH($E$1*B333*86.4/$G$1)</f>
        <v>0.731684131481285</v>
      </c>
      <c r="H333" s="0" t="n">
        <f aca="false">COSH($E$1*B333*86.4/$G$1)</f>
        <v>1.46704177995498</v>
      </c>
      <c r="I333" s="0" t="n">
        <f aca="false">(($G$1^2*1000)/($E$1*$I$1))*(H333-1)</f>
        <v>0.452899011929647</v>
      </c>
      <c r="J333" s="0" t="n">
        <f aca="false">$J$3*EXP(-$E$1*B333*86.4/$G$1)</f>
        <v>393.630589341861</v>
      </c>
      <c r="K333" s="0" t="n">
        <f aca="false">J332-J333</f>
        <v>1.11368913246383</v>
      </c>
    </row>
    <row r="334" customFormat="false" ht="12.8" hidden="false" customHeight="false" outlineLevel="0" collapsed="false">
      <c r="A334" s="0" t="n">
        <v>1</v>
      </c>
      <c r="B334" s="0" t="n">
        <f aca="false">B333+A334</f>
        <v>331</v>
      </c>
      <c r="C334" s="0" t="n">
        <f aca="false">$C$3+($G$1/($E$1*86.4))*SINH($E$1*B334*86.4/$G$1)</f>
        <v>44985.3994662566</v>
      </c>
      <c r="D334" s="0" t="n">
        <f aca="false">C334-$C$3-B334</f>
        <v>50.3994662565674</v>
      </c>
      <c r="E334" s="0" t="n">
        <f aca="false">$E$1*B334*86.4</f>
        <v>280550.304</v>
      </c>
      <c r="F334" s="0" t="n">
        <f aca="false">$G$1*G334</f>
        <v>219898.245986415</v>
      </c>
      <c r="G334" s="0" t="n">
        <f aca="false">TANH($E$1*B334*86.4/$G$1)</f>
        <v>0.732994153288049</v>
      </c>
      <c r="H334" s="0" t="n">
        <f aca="false">COSH($E$1*B334*86.4/$G$1)</f>
        <v>1.47008032627772</v>
      </c>
      <c r="I334" s="0" t="n">
        <f aca="false">(($G$1^2*1000)/($E$1*$I$1))*(H334-1)</f>
        <v>0.455845546236288</v>
      </c>
      <c r="J334" s="0" t="n">
        <f aca="false">$J$3*EXP(-$E$1*B334*86.4/$G$1)</f>
        <v>392.520042252364</v>
      </c>
      <c r="K334" s="0" t="n">
        <f aca="false">J333-J334</f>
        <v>1.11054708949729</v>
      </c>
    </row>
    <row r="335" customFormat="false" ht="12.8" hidden="false" customHeight="false" outlineLevel="0" collapsed="false">
      <c r="A335" s="0" t="n">
        <v>1</v>
      </c>
      <c r="B335" s="0" t="n">
        <f aca="false">B334+A335</f>
        <v>332</v>
      </c>
      <c r="C335" s="0" t="n">
        <f aca="false">$C$3+($G$1/($E$1*86.4))*SINH($E$1*B335*86.4/$G$1)</f>
        <v>44986.8710707444</v>
      </c>
      <c r="D335" s="0" t="n">
        <f aca="false">C335-$C$3-B335</f>
        <v>50.8710707443679</v>
      </c>
      <c r="E335" s="0" t="n">
        <f aca="false">$E$1*B335*86.4</f>
        <v>281397.888</v>
      </c>
      <c r="F335" s="0" t="n">
        <f aca="false">$G$1*G335</f>
        <v>220289.628131471</v>
      </c>
      <c r="G335" s="0" t="n">
        <f aca="false">TANH($E$1*B335*86.4/$G$1)</f>
        <v>0.734298760438236</v>
      </c>
      <c r="H335" s="0" t="n">
        <f aca="false">COSH($E$1*B335*86.4/$G$1)</f>
        <v>1.47313060709385</v>
      </c>
      <c r="I335" s="0" t="n">
        <f aca="false">(($G$1^2*1000)/($E$1*$I$1))*(H335-1)</f>
        <v>0.458803459697195</v>
      </c>
      <c r="J335" s="0" t="n">
        <f aca="false">$J$3*EXP(-$E$1*B335*86.4/$G$1)</f>
        <v>391.412628341211</v>
      </c>
      <c r="K335" s="0" t="n">
        <f aca="false">J334-J335</f>
        <v>1.10741391115346</v>
      </c>
    </row>
    <row r="336" customFormat="false" ht="12.8" hidden="false" customHeight="false" outlineLevel="0" collapsed="false">
      <c r="A336" s="0" t="n">
        <v>1</v>
      </c>
      <c r="B336" s="0" t="n">
        <f aca="false">B335+A336</f>
        <v>333</v>
      </c>
      <c r="C336" s="0" t="n">
        <f aca="false">$C$3+($G$1/($E$1*86.4))*SINH($E$1*B336*86.4/$G$1)</f>
        <v>44988.3457313904</v>
      </c>
      <c r="D336" s="0" t="n">
        <f aca="false">C336-$C$3-B336</f>
        <v>51.3457313903709</v>
      </c>
      <c r="E336" s="0" t="n">
        <f aca="false">$E$1*B336*86.4</f>
        <v>282245.472</v>
      </c>
      <c r="F336" s="0" t="n">
        <f aca="false">$G$1*G336</f>
        <v>220679.389720359</v>
      </c>
      <c r="G336" s="0" t="n">
        <f aca="false">TANH($E$1*B336*86.4/$G$1)</f>
        <v>0.735597965734531</v>
      </c>
      <c r="H336" s="0" t="n">
        <f aca="false">COSH($E$1*B336*86.4/$G$1)</f>
        <v>1.47619264675137</v>
      </c>
      <c r="I336" s="0" t="n">
        <f aca="false">(($G$1^2*1000)/($E$1*$I$1))*(H336-1)</f>
        <v>0.461772775923061</v>
      </c>
      <c r="J336" s="0" t="n">
        <f aca="false">$J$3*EXP(-$E$1*B336*86.4/$G$1)</f>
        <v>390.308338768788</v>
      </c>
      <c r="K336" s="0" t="n">
        <f aca="false">J335-J336</f>
        <v>1.10428957242266</v>
      </c>
    </row>
    <row r="337" customFormat="false" ht="12.8" hidden="false" customHeight="false" outlineLevel="0" collapsed="false">
      <c r="A337" s="0" t="n">
        <v>1</v>
      </c>
      <c r="B337" s="0" t="n">
        <f aca="false">B336+A337</f>
        <v>334</v>
      </c>
      <c r="C337" s="0" t="n">
        <f aca="false">$C$3+($G$1/($E$1*86.4))*SINH($E$1*B337*86.4/$G$1)</f>
        <v>44989.8234599656</v>
      </c>
      <c r="D337" s="0" t="n">
        <f aca="false">C337-$C$3-B337</f>
        <v>51.823459965628</v>
      </c>
      <c r="E337" s="0" t="n">
        <f aca="false">$E$1*B337*86.4</f>
        <v>283093.056</v>
      </c>
      <c r="F337" s="0" t="n">
        <f aca="false">$G$1*G337</f>
        <v>221067.534613673</v>
      </c>
      <c r="G337" s="0" t="n">
        <f aca="false">TANH($E$1*B337*86.4/$G$1)</f>
        <v>0.736891782045577</v>
      </c>
      <c r="H337" s="0" t="n">
        <f aca="false">COSH($E$1*B337*86.4/$G$1)</f>
        <v>1.47926646969211</v>
      </c>
      <c r="I337" s="0" t="n">
        <f aca="false">(($G$1^2*1000)/($E$1*$I$1))*(H337-1)</f>
        <v>0.464753518615599</v>
      </c>
      <c r="J337" s="0" t="n">
        <f aca="false">$J$3*EXP(-$E$1*B337*86.4/$G$1)</f>
        <v>389.207164720422</v>
      </c>
      <c r="K337" s="0" t="n">
        <f aca="false">J336-J337</f>
        <v>1.10117404836592</v>
      </c>
    </row>
    <row r="338" customFormat="false" ht="12.8" hidden="false" customHeight="false" outlineLevel="0" collapsed="false">
      <c r="A338" s="0" t="n">
        <v>1</v>
      </c>
      <c r="B338" s="0" t="n">
        <f aca="false">B337+A338</f>
        <v>335</v>
      </c>
      <c r="C338" s="0" t="n">
        <f aca="false">$C$3+($G$1/($E$1*86.4))*SINH($E$1*B338*86.4/$G$1)</f>
        <v>44991.3042682657</v>
      </c>
      <c r="D338" s="0" t="n">
        <f aca="false">C338-$C$3-B338</f>
        <v>52.3042682656887</v>
      </c>
      <c r="E338" s="0" t="n">
        <f aca="false">$E$1*B338*86.4</f>
        <v>283940.64</v>
      </c>
      <c r="F338" s="0" t="n">
        <f aca="false">$G$1*G338</f>
        <v>221454.06669145</v>
      </c>
      <c r="G338" s="0" t="n">
        <f aca="false">TANH($E$1*B338*86.4/$G$1)</f>
        <v>0.738180222304832</v>
      </c>
      <c r="H338" s="0" t="n">
        <f aca="false">COSH($E$1*B338*86.4/$G$1)</f>
        <v>1.482352100452</v>
      </c>
      <c r="I338" s="0" t="n">
        <f aca="false">(($G$1^2*1000)/($E$1*$I$1))*(H338-1)</f>
        <v>0.46774571156773</v>
      </c>
      <c r="J338" s="0" t="n">
        <f aca="false">$J$3*EXP(-$E$1*B338*86.4/$G$1)</f>
        <v>388.109097406308</v>
      </c>
      <c r="K338" s="0" t="n">
        <f aca="false">J337-J338</f>
        <v>1.09806731411408</v>
      </c>
    </row>
    <row r="339" customFormat="false" ht="12.8" hidden="false" customHeight="false" outlineLevel="0" collapsed="false">
      <c r="A339" s="0" t="n">
        <v>1</v>
      </c>
      <c r="B339" s="0" t="n">
        <f aca="false">B338+A339</f>
        <v>336</v>
      </c>
      <c r="C339" s="0" t="n">
        <f aca="false">$C$3+($G$1/($E$1*86.4))*SINH($E$1*B339*86.4/$G$1)</f>
        <v>44992.7881681107</v>
      </c>
      <c r="D339" s="0" t="n">
        <f aca="false">C339-$C$3-B339</f>
        <v>52.788168110681</v>
      </c>
      <c r="E339" s="0" t="n">
        <f aca="false">$E$1*B339*86.4</f>
        <v>284788.224</v>
      </c>
      <c r="F339" s="0" t="n">
        <f aca="false">$G$1*G339</f>
        <v>221838.98985283</v>
      </c>
      <c r="G339" s="0" t="n">
        <f aca="false">TANH($E$1*B339*86.4/$G$1)</f>
        <v>0.739463299509432</v>
      </c>
      <c r="H339" s="0" t="n">
        <f aca="false">COSH($E$1*B339*86.4/$G$1)</f>
        <v>1.48544956366118</v>
      </c>
      <c r="I339" s="0" t="n">
        <f aca="false">(($G$1^2*1000)/($E$1*$I$1))*(H339-1)</f>
        <v>0.470749378663774</v>
      </c>
      <c r="J339" s="0" t="n">
        <f aca="false">$J$3*EXP(-$E$1*B339*86.4/$G$1)</f>
        <v>387.014128061439</v>
      </c>
      <c r="K339" s="0" t="n">
        <f aca="false">J338-J339</f>
        <v>1.09496934486884</v>
      </c>
    </row>
    <row r="340" customFormat="false" ht="12.8" hidden="false" customHeight="false" outlineLevel="0" collapsed="false">
      <c r="A340" s="0" t="n">
        <v>1</v>
      </c>
      <c r="B340" s="0" t="n">
        <f aca="false">B339+A340</f>
        <v>337</v>
      </c>
      <c r="C340" s="0" t="n">
        <f aca="false">$C$3+($G$1/($E$1*86.4))*SINH($E$1*B340*86.4/$G$1)</f>
        <v>44994.2751713454</v>
      </c>
      <c r="D340" s="0" t="n">
        <f aca="false">C340-$C$3-B340</f>
        <v>53.2751713454054</v>
      </c>
      <c r="E340" s="0" t="n">
        <f aca="false">$E$1*B340*86.4</f>
        <v>285635.808</v>
      </c>
      <c r="F340" s="0" t="n">
        <f aca="false">$G$1*G340</f>
        <v>222222.308015719</v>
      </c>
      <c r="G340" s="0" t="n">
        <f aca="false">TANH($E$1*B340*86.4/$G$1)</f>
        <v>0.740741026719063</v>
      </c>
      <c r="H340" s="0" t="n">
        <f aca="false">COSH($E$1*B340*86.4/$G$1)</f>
        <v>1.48855888404428</v>
      </c>
      <c r="I340" s="0" t="n">
        <f aca="false">(($G$1^2*1000)/($E$1*$I$1))*(H340-1)</f>
        <v>0.47376454387964</v>
      </c>
      <c r="J340" s="0" t="n">
        <f aca="false">$J$3*EXP(-$E$1*B340*86.4/$G$1)</f>
        <v>385.922247945538</v>
      </c>
      <c r="K340" s="0" t="n">
        <f aca="false">J339-J340</f>
        <v>1.09188011590146</v>
      </c>
    </row>
    <row r="341" customFormat="false" ht="12.8" hidden="false" customHeight="false" outlineLevel="0" collapsed="false">
      <c r="A341" s="0" t="n">
        <v>1</v>
      </c>
      <c r="B341" s="0" t="n">
        <f aca="false">B340+A341</f>
        <v>338</v>
      </c>
      <c r="C341" s="0" t="n">
        <f aca="false">$C$3+($G$1/($E$1*86.4))*SINH($E$1*B341*86.4/$G$1)</f>
        <v>44995.7652898394</v>
      </c>
      <c r="D341" s="0" t="n">
        <f aca="false">C341-$C$3-B341</f>
        <v>53.7652898394299</v>
      </c>
      <c r="E341" s="0" t="n">
        <f aca="false">$E$1*B341*86.4</f>
        <v>286483.392</v>
      </c>
      <c r="F341" s="0" t="n">
        <f aca="false">$G$1*G341</f>
        <v>222604.02511645</v>
      </c>
      <c r="G341" s="0" t="n">
        <f aca="false">TANH($E$1*B341*86.4/$G$1)</f>
        <v>0.742013417054834</v>
      </c>
      <c r="H341" s="0" t="n">
        <f aca="false">COSH($E$1*B341*86.4/$G$1)</f>
        <v>1.49168008642054</v>
      </c>
      <c r="I341" s="0" t="n">
        <f aca="false">(($G$1^2*1000)/($E$1*$I$1))*(H341-1)</f>
        <v>0.476791231283016</v>
      </c>
      <c r="J341" s="0" t="n">
        <f aca="false">$J$3*EXP(-$E$1*B341*86.4/$G$1)</f>
        <v>384.833448342984</v>
      </c>
      <c r="K341" s="0" t="n">
        <f aca="false">J340-J341</f>
        <v>1.08879960255308</v>
      </c>
    </row>
    <row r="342" customFormat="false" ht="12.8" hidden="false" customHeight="false" outlineLevel="0" collapsed="false">
      <c r="A342" s="0" t="n">
        <v>1</v>
      </c>
      <c r="B342" s="0" t="n">
        <f aca="false">B341+A342</f>
        <v>339</v>
      </c>
      <c r="C342" s="0" t="n">
        <f aca="false">$C$3+($G$1/($E$1*86.4))*SINH($E$1*B342*86.4/$G$1)</f>
        <v>44997.2585354872</v>
      </c>
      <c r="D342" s="0" t="n">
        <f aca="false">C342-$C$3-B342</f>
        <v>54.2585354872135</v>
      </c>
      <c r="E342" s="0" t="n">
        <f aca="false">$E$1*B342*86.4</f>
        <v>287330.976</v>
      </c>
      <c r="F342" s="0" t="n">
        <f aca="false">$G$1*G342</f>
        <v>222984.145109449</v>
      </c>
      <c r="G342" s="0" t="n">
        <f aca="false">TANH($E$1*B342*86.4/$G$1)</f>
        <v>0.743280483698163</v>
      </c>
      <c r="H342" s="0" t="n">
        <f aca="false">COSH($E$1*B342*86.4/$G$1)</f>
        <v>1.49481319570406</v>
      </c>
      <c r="I342" s="0" t="n">
        <f aca="false">(($G$1^2*1000)/($E$1*$I$1))*(H342-1)</f>
        <v>0.479829465033565</v>
      </c>
      <c r="J342" s="0" t="n">
        <f aca="false">$J$3*EXP(-$E$1*B342*86.4/$G$1)</f>
        <v>383.74772056275</v>
      </c>
      <c r="K342" s="0" t="n">
        <f aca="false">J341-J342</f>
        <v>1.08572778023444</v>
      </c>
    </row>
    <row r="343" customFormat="false" ht="12.8" hidden="false" customHeight="false" outlineLevel="0" collapsed="false">
      <c r="A343" s="0" t="n">
        <v>1</v>
      </c>
      <c r="B343" s="0" t="n">
        <f aca="false">B342+A343</f>
        <v>340</v>
      </c>
      <c r="C343" s="0" t="n">
        <f aca="false">$C$3+($G$1/($E$1*86.4))*SINH($E$1*B343*86.4/$G$1)</f>
        <v>44998.7549202081</v>
      </c>
      <c r="D343" s="0" t="n">
        <f aca="false">C343-$C$3-B343</f>
        <v>54.7549202081427</v>
      </c>
      <c r="E343" s="0" t="n">
        <f aca="false">$E$1*B343*86.4</f>
        <v>288178.56</v>
      </c>
      <c r="F343" s="0" t="n">
        <f aca="false">$G$1*G343</f>
        <v>223362.671966899</v>
      </c>
      <c r="G343" s="0" t="n">
        <f aca="false">TANH($E$1*B343*86.4/$G$1)</f>
        <v>0.744542239889663</v>
      </c>
      <c r="H343" s="0" t="n">
        <f aca="false">COSH($E$1*B343*86.4/$G$1)</f>
        <v>1.49795823690399</v>
      </c>
      <c r="I343" s="0" t="n">
        <f aca="false">(($G$1^2*1000)/($E$1*$I$1))*(H343-1)</f>
        <v>0.482879269383113</v>
      </c>
      <c r="J343" s="0" t="n">
        <f aca="false">$J$3*EXP(-$E$1*B343*86.4/$G$1)</f>
        <v>382.665055938325</v>
      </c>
      <c r="K343" s="0" t="n">
        <f aca="false">J342-J343</f>
        <v>1.08266462442555</v>
      </c>
    </row>
    <row r="344" customFormat="false" ht="12.8" hidden="false" customHeight="false" outlineLevel="0" collapsed="false">
      <c r="A344" s="0" t="n">
        <v>1</v>
      </c>
      <c r="B344" s="0" t="n">
        <f aca="false">B343+A344</f>
        <v>341</v>
      </c>
      <c r="C344" s="0" t="n">
        <f aca="false">$C$3+($G$1/($E$1*86.4))*SINH($E$1*B344*86.4/$G$1)</f>
        <v>45000.2544559467</v>
      </c>
      <c r="D344" s="0" t="n">
        <f aca="false">C344-$C$3-B344</f>
        <v>55.2544559466915</v>
      </c>
      <c r="E344" s="0" t="n">
        <f aca="false">$E$1*B344*86.4</f>
        <v>289026.144</v>
      </c>
      <c r="F344" s="0" t="n">
        <f aca="false">$G$1*G344</f>
        <v>223739.609678411</v>
      </c>
      <c r="G344" s="0" t="n">
        <f aca="false">TANH($E$1*B344*86.4/$G$1)</f>
        <v>0.745798698928037</v>
      </c>
      <c r="H344" s="0" t="n">
        <f aca="false">COSH($E$1*B344*86.4/$G$1)</f>
        <v>1.50111523512472</v>
      </c>
      <c r="I344" s="0" t="n">
        <f aca="false">(($G$1^2*1000)/($E$1*$I$1))*(H344-1)</f>
        <v>0.485940668675846</v>
      </c>
      <c r="J344" s="0" t="n">
        <f aca="false">$J$3*EXP(-$E$1*B344*86.4/$G$1)</f>
        <v>381.585445827649</v>
      </c>
      <c r="K344" s="0" t="n">
        <f aca="false">J343-J344</f>
        <v>1.07961011067545</v>
      </c>
    </row>
    <row r="345" customFormat="false" ht="12.8" hidden="false" customHeight="false" outlineLevel="0" collapsed="false">
      <c r="A345" s="0" t="n">
        <v>1</v>
      </c>
      <c r="B345" s="0" t="n">
        <f aca="false">B344+A345</f>
        <v>342</v>
      </c>
      <c r="C345" s="0" t="n">
        <f aca="false">$C$3+($G$1/($E$1*86.4))*SINH($E$1*B345*86.4/$G$1)</f>
        <v>45001.7571546725</v>
      </c>
      <c r="D345" s="0" t="n">
        <f aca="false">C345-$C$3-B345</f>
        <v>55.7571546724648</v>
      </c>
      <c r="E345" s="0" t="n">
        <f aca="false">$E$1*B345*86.4</f>
        <v>289873.728</v>
      </c>
      <c r="F345" s="0" t="n">
        <f aca="false">$G$1*G345</f>
        <v>224114.962250696</v>
      </c>
      <c r="G345" s="0" t="n">
        <f aca="false">TANH($E$1*B345*86.4/$G$1)</f>
        <v>0.747049874168986</v>
      </c>
      <c r="H345" s="0" t="n">
        <f aca="false">COSH($E$1*B345*86.4/$G$1)</f>
        <v>1.50428421556607</v>
      </c>
      <c r="I345" s="0" t="n">
        <f aca="false">(($G$1^2*1000)/($E$1*$I$1))*(H345-1)</f>
        <v>0.489013687348505</v>
      </c>
      <c r="J345" s="0" t="n">
        <f aca="false">$J$3*EXP(-$E$1*B345*86.4/$G$1)</f>
        <v>380.508881613046</v>
      </c>
      <c r="K345" s="0" t="n">
        <f aca="false">J344-J345</f>
        <v>1.07656421460268</v>
      </c>
    </row>
    <row r="346" customFormat="false" ht="12.8" hidden="false" customHeight="false" outlineLevel="0" collapsed="false">
      <c r="A346" s="0" t="n">
        <v>1</v>
      </c>
      <c r="B346" s="0" t="n">
        <f aca="false">B345+A346</f>
        <v>343</v>
      </c>
      <c r="C346" s="0" t="n">
        <f aca="false">$C$3+($G$1/($E$1*86.4))*SINH($E$1*B346*86.4/$G$1)</f>
        <v>45003.2630283803</v>
      </c>
      <c r="D346" s="0" t="n">
        <f aca="false">C346-$C$3-B346</f>
        <v>56.2630283803301</v>
      </c>
      <c r="E346" s="0" t="n">
        <f aca="false">$E$1*B346*86.4</f>
        <v>290721.312</v>
      </c>
      <c r="F346" s="0" t="n">
        <f aca="false">$G$1*G346</f>
        <v>224488.733707233</v>
      </c>
      <c r="G346" s="0" t="n">
        <f aca="false">TANH($E$1*B346*86.4/$G$1)</f>
        <v>0.74829577902411</v>
      </c>
      <c r="H346" s="0" t="n">
        <f aca="false">COSH($E$1*B346*86.4/$G$1)</f>
        <v>1.50746520352353</v>
      </c>
      <c r="I346" s="0" t="n">
        <f aca="false">(($G$1^2*1000)/($E$1*$I$1))*(H346-1)</f>
        <v>0.492098349930576</v>
      </c>
      <c r="J346" s="0" t="n">
        <f aca="false">$J$3*EXP(-$E$1*B346*86.4/$G$1)</f>
        <v>379.435354701152</v>
      </c>
      <c r="K346" s="0" t="n">
        <f aca="false">J345-J346</f>
        <v>1.07352691189413</v>
      </c>
    </row>
    <row r="347" customFormat="false" ht="12.8" hidden="false" customHeight="false" outlineLevel="0" collapsed="false">
      <c r="A347" s="0" t="n">
        <v>1</v>
      </c>
      <c r="B347" s="0" t="n">
        <f aca="false">B346+A347</f>
        <v>344</v>
      </c>
      <c r="C347" s="0" t="n">
        <f aca="false">$C$3+($G$1/($E$1*86.4))*SINH($E$1*B347*86.4/$G$1)</f>
        <v>45004.7720890905</v>
      </c>
      <c r="D347" s="0" t="n">
        <f aca="false">C347-$C$3-B347</f>
        <v>56.772089090482</v>
      </c>
      <c r="E347" s="0" t="n">
        <f aca="false">$E$1*B347*86.4</f>
        <v>291568.896</v>
      </c>
      <c r="F347" s="0" t="n">
        <f aca="false">$G$1*G347</f>
        <v>224860.928087947</v>
      </c>
      <c r="G347" s="0" t="n">
        <f aca="false">TANH($E$1*B347*86.4/$G$1)</f>
        <v>0.749536426959825</v>
      </c>
      <c r="H347" s="0" t="n">
        <f aca="false">COSH($E$1*B347*86.4/$G$1)</f>
        <v>1.5106582243884</v>
      </c>
      <c r="I347" s="0" t="n">
        <f aca="false">(($G$1^2*1000)/($E$1*$I$1))*(H347-1)</f>
        <v>0.495194681044492</v>
      </c>
      <c r="J347" s="0" t="n">
        <f aca="false">$J$3*EXP(-$E$1*B347*86.4/$G$1)</f>
        <v>378.364856522847</v>
      </c>
      <c r="K347" s="0" t="n">
        <f aca="false">J346-J347</f>
        <v>1.07049817830546</v>
      </c>
    </row>
    <row r="348" customFormat="false" ht="12.8" hidden="false" customHeight="false" outlineLevel="0" collapsed="false">
      <c r="A348" s="0" t="n">
        <v>1</v>
      </c>
      <c r="B348" s="0" t="n">
        <f aca="false">B347+A348</f>
        <v>345</v>
      </c>
      <c r="C348" s="0" t="n">
        <f aca="false">$C$3+($G$1/($E$1*86.4))*SINH($E$1*B348*86.4/$G$1)</f>
        <v>45006.2843488486</v>
      </c>
      <c r="D348" s="0" t="n">
        <f aca="false">C348-$C$3-B348</f>
        <v>57.2843488485669</v>
      </c>
      <c r="E348" s="0" t="n">
        <f aca="false">$E$1*B348*86.4</f>
        <v>292416.48</v>
      </c>
      <c r="F348" s="0" t="n">
        <f aca="false">$G$1*G348</f>
        <v>225231.549448887</v>
      </c>
      <c r="G348" s="0" t="n">
        <f aca="false">TANH($E$1*B348*86.4/$G$1)</f>
        <v>0.750771831496289</v>
      </c>
      <c r="H348" s="0" t="n">
        <f aca="false">COSH($E$1*B348*86.4/$G$1)</f>
        <v>1.51386330364807</v>
      </c>
      <c r="I348" s="0" t="n">
        <f aca="false">(($G$1^2*1000)/($E$1*$I$1))*(H348-1)</f>
        <v>0.498302705405825</v>
      </c>
      <c r="J348" s="0" t="n">
        <f aca="false">$J$3*EXP(-$E$1*B348*86.4/$G$1)</f>
        <v>377.297378533186</v>
      </c>
      <c r="K348" s="0" t="n">
        <f aca="false">J347-J348</f>
        <v>1.0674779896604</v>
      </c>
    </row>
    <row r="349" customFormat="false" ht="12.8" hidden="false" customHeight="false" outlineLevel="0" collapsed="false">
      <c r="A349" s="0" t="n">
        <v>1</v>
      </c>
      <c r="B349" s="0" t="n">
        <f aca="false">B348+A349</f>
        <v>346</v>
      </c>
      <c r="C349" s="0" t="n">
        <f aca="false">$C$3+($G$1/($E$1*86.4))*SINH($E$1*B349*86.4/$G$1)</f>
        <v>45007.7998197258</v>
      </c>
      <c r="D349" s="0" t="n">
        <f aca="false">C349-$C$3-B349</f>
        <v>57.7998197257693</v>
      </c>
      <c r="E349" s="0" t="n">
        <f aca="false">$E$1*B349*86.4</f>
        <v>293264.064</v>
      </c>
      <c r="F349" s="0" t="n">
        <f aca="false">$G$1*G349</f>
        <v>225600.601861898</v>
      </c>
      <c r="G349" s="0" t="n">
        <f aca="false">TANH($E$1*B349*86.4/$G$1)</f>
        <v>0.752002006206328</v>
      </c>
      <c r="H349" s="0" t="n">
        <f aca="false">COSH($E$1*B349*86.4/$G$1)</f>
        <v>1.51708046688616</v>
      </c>
      <c r="I349" s="0" t="n">
        <f aca="false">(($G$1^2*1000)/($E$1*$I$1))*(H349-1)</f>
        <v>0.501422447823485</v>
      </c>
      <c r="J349" s="0" t="n">
        <f aca="false">$J$3*EXP(-$E$1*B349*86.4/$G$1)</f>
        <v>376.232912211335</v>
      </c>
      <c r="K349" s="0" t="n">
        <f aca="false">J348-J349</f>
        <v>1.06446632185157</v>
      </c>
    </row>
    <row r="350" customFormat="false" ht="12.8" hidden="false" customHeight="false" outlineLevel="0" collapsed="false">
      <c r="A350" s="0" t="n">
        <v>1</v>
      </c>
      <c r="B350" s="0" t="n">
        <f aca="false">B349+A350</f>
        <v>347</v>
      </c>
      <c r="C350" s="0" t="n">
        <f aca="false">$C$3+($G$1/($E$1*86.4))*SINH($E$1*B350*86.4/$G$1)</f>
        <v>45009.3185138189</v>
      </c>
      <c r="D350" s="0" t="n">
        <f aca="false">C350-$C$3-B350</f>
        <v>58.3185138188928</v>
      </c>
      <c r="E350" s="0" t="n">
        <f aca="false">$E$1*B350*86.4</f>
        <v>294111.648</v>
      </c>
      <c r="F350" s="0" t="n">
        <f aca="false">$G$1*G350</f>
        <v>225968.08941431</v>
      </c>
      <c r="G350" s="0" t="n">
        <f aca="false">TANH($E$1*B350*86.4/$G$1)</f>
        <v>0.753226964714368</v>
      </c>
      <c r="H350" s="0" t="n">
        <f aca="false">COSH($E$1*B350*86.4/$G$1)</f>
        <v>1.52030973978274</v>
      </c>
      <c r="I350" s="0" t="n">
        <f aca="false">(($G$1^2*1000)/($E$1*$I$1))*(H350-1)</f>
        <v>0.50455393319992</v>
      </c>
      <c r="J350" s="0" t="n">
        <f aca="false">$J$3*EXP(-$E$1*B350*86.4/$G$1)</f>
        <v>375.171449060496</v>
      </c>
      <c r="K350" s="0" t="n">
        <f aca="false">J349-J350</f>
        <v>1.0614631508389</v>
      </c>
    </row>
    <row r="351" customFormat="false" ht="12.8" hidden="false" customHeight="false" outlineLevel="0" collapsed="false">
      <c r="A351" s="0" t="n">
        <v>1</v>
      </c>
      <c r="B351" s="0" t="n">
        <f aca="false">B350+A351</f>
        <v>348</v>
      </c>
      <c r="C351" s="0" t="n">
        <f aca="false">$C$3+($G$1/($E$1*86.4))*SINH($E$1*B351*86.4/$G$1)</f>
        <v>45010.8404432505</v>
      </c>
      <c r="D351" s="0" t="n">
        <f aca="false">C351-$C$3-B351</f>
        <v>58.8404432504831</v>
      </c>
      <c r="E351" s="0" t="n">
        <f aca="false">$E$1*B351*86.4</f>
        <v>294959.232</v>
      </c>
      <c r="F351" s="0" t="n">
        <f aca="false">$G$1*G351</f>
        <v>226334.016208615</v>
      </c>
      <c r="G351" s="0" t="n">
        <f aca="false">TANH($E$1*B351*86.4/$G$1)</f>
        <v>0.754446720695383</v>
      </c>
      <c r="H351" s="0" t="n">
        <f aca="false">COSH($E$1*B351*86.4/$G$1)</f>
        <v>1.52355114811456</v>
      </c>
      <c r="I351" s="0" t="n">
        <f aca="false">(($G$1^2*1000)/($E$1*$I$1))*(H351-1)</f>
        <v>0.50769718653131</v>
      </c>
      <c r="J351" s="0" t="n">
        <f aca="false">$J$3*EXP(-$E$1*B351*86.4/$G$1)</f>
        <v>374.112980607845</v>
      </c>
      <c r="K351" s="0" t="n">
        <f aca="false">J350-J351</f>
        <v>1.05846845265057</v>
      </c>
    </row>
    <row r="352" customFormat="false" ht="12.8" hidden="false" customHeight="false" outlineLevel="0" collapsed="false">
      <c r="A352" s="0" t="n">
        <v>1</v>
      </c>
      <c r="B352" s="0" t="n">
        <f aca="false">B351+A352</f>
        <v>349</v>
      </c>
      <c r="C352" s="0" t="n">
        <f aca="false">$C$3+($G$1/($E$1*86.4))*SINH($E$1*B352*86.4/$G$1)</f>
        <v>45012.3656201689</v>
      </c>
      <c r="D352" s="0" t="n">
        <f aca="false">C352-$C$3-B352</f>
        <v>59.3656201688937</v>
      </c>
      <c r="E352" s="0" t="n">
        <f aca="false">$E$1*B352*86.4</f>
        <v>295806.816</v>
      </c>
      <c r="F352" s="0" t="n">
        <f aca="false">$G$1*G352</f>
        <v>226698.386362151</v>
      </c>
      <c r="G352" s="0" t="n">
        <f aca="false">TANH($E$1*B352*86.4/$G$1)</f>
        <v>0.755661287873837</v>
      </c>
      <c r="H352" s="0" t="n">
        <f aca="false">COSH($E$1*B352*86.4/$G$1)</f>
        <v>1.52680471775523</v>
      </c>
      <c r="I352" s="0" t="n">
        <f aca="false">(($G$1^2*1000)/($E$1*$I$1))*(H352-1)</f>
        <v>0.510852232907772</v>
      </c>
      <c r="J352" s="0" t="n">
        <f aca="false">$J$3*EXP(-$E$1*B352*86.4/$G$1)</f>
        <v>373.057498404463</v>
      </c>
      <c r="K352" s="0" t="n">
        <f aca="false">J351-J352</f>
        <v>1.05548220338227</v>
      </c>
    </row>
    <row r="353" customFormat="false" ht="12.8" hidden="false" customHeight="false" outlineLevel="0" collapsed="false">
      <c r="A353" s="0" t="n">
        <v>1</v>
      </c>
      <c r="B353" s="0" t="n">
        <f aca="false">B352+A353</f>
        <v>350</v>
      </c>
      <c r="C353" s="0" t="n">
        <f aca="false">$C$3+($G$1/($E$1*86.4))*SINH($E$1*B353*86.4/$G$1)</f>
        <v>45013.8940567484</v>
      </c>
      <c r="D353" s="0" t="n">
        <f aca="false">C353-$C$3-B353</f>
        <v>59.8940567484169</v>
      </c>
      <c r="E353" s="0" t="n">
        <f aca="false">$E$1*B353*86.4</f>
        <v>296654.4</v>
      </c>
      <c r="F353" s="0" t="n">
        <f aca="false">$G$1*G353</f>
        <v>227061.204006794</v>
      </c>
      <c r="G353" s="0" t="n">
        <f aca="false">TANH($E$1*B353*86.4/$G$1)</f>
        <v>0.756870680022645</v>
      </c>
      <c r="H353" s="0" t="n">
        <f aca="false">COSH($E$1*B353*86.4/$G$1)</f>
        <v>1.53007047467543</v>
      </c>
      <c r="I353" s="0" t="n">
        <f aca="false">(($G$1^2*1000)/($E$1*$I$1))*(H353-1)</f>
        <v>0.514019097513554</v>
      </c>
      <c r="J353" s="0" t="n">
        <f aca="false">$J$3*EXP(-$E$1*B353*86.4/$G$1)</f>
        <v>372.004994025266</v>
      </c>
      <c r="K353" s="0" t="n">
        <f aca="false">J352-J353</f>
        <v>1.05250437919699</v>
      </c>
    </row>
    <row r="354" customFormat="false" ht="12.8" hidden="false" customHeight="false" outlineLevel="0" collapsed="false">
      <c r="A354" s="0" t="n">
        <v>1</v>
      </c>
      <c r="B354" s="0" t="n">
        <f aca="false">B353+A354</f>
        <v>351</v>
      </c>
      <c r="C354" s="0" t="n">
        <f aca="false">$C$3+($G$1/($E$1*86.4))*SINH($E$1*B354*86.4/$G$1)</f>
        <v>45015.4257651894</v>
      </c>
      <c r="D354" s="0" t="n">
        <f aca="false">C354-$C$3-B354</f>
        <v>60.4257651893568</v>
      </c>
      <c r="E354" s="0" t="n">
        <f aca="false">$E$1*B354*86.4</f>
        <v>297501.984</v>
      </c>
      <c r="F354" s="0" t="n">
        <f aca="false">$G$1*G354</f>
        <v>227422.47328864</v>
      </c>
      <c r="G354" s="0" t="n">
        <f aca="false">TANH($E$1*B354*86.4/$G$1)</f>
        <v>0.758074910962133</v>
      </c>
      <c r="H354" s="0" t="n">
        <f aca="false">COSH($E$1*B354*86.4/$G$1)</f>
        <v>1.53334844494313</v>
      </c>
      <c r="I354" s="0" t="n">
        <f aca="false">(($G$1^2*1000)/($E$1*$I$1))*(H354-1)</f>
        <v>0.517197805627245</v>
      </c>
      <c r="J354" s="0" t="n">
        <f aca="false">$J$3*EXP(-$E$1*B354*86.4/$G$1)</f>
        <v>370.955459068941</v>
      </c>
      <c r="K354" s="0" t="n">
        <f aca="false">J353-J354</f>
        <v>1.04953495632537</v>
      </c>
    </row>
    <row r="355" customFormat="false" ht="12.8" hidden="false" customHeight="false" outlineLevel="0" collapsed="false">
      <c r="A355" s="0" t="n">
        <v>1</v>
      </c>
      <c r="B355" s="0" t="n">
        <f aca="false">B354+A355</f>
        <v>352</v>
      </c>
      <c r="C355" s="0" t="n">
        <f aca="false">$C$3+($G$1/($E$1*86.4))*SINH($E$1*B355*86.4/$G$1)</f>
        <v>45016.9607577181</v>
      </c>
      <c r="D355" s="0" t="n">
        <f aca="false">C355-$C$3-B355</f>
        <v>60.9607577181378</v>
      </c>
      <c r="E355" s="0" t="n">
        <f aca="false">$E$1*B355*86.4</f>
        <v>298349.568</v>
      </c>
      <c r="F355" s="0" t="n">
        <f aca="false">$G$1*G355</f>
        <v>227782.198367702</v>
      </c>
      <c r="G355" s="0" t="n">
        <f aca="false">TANH($E$1*B355*86.4/$G$1)</f>
        <v>0.759273994559007</v>
      </c>
      <c r="H355" s="0" t="n">
        <f aca="false">COSH($E$1*B355*86.4/$G$1)</f>
        <v>1.53663865472378</v>
      </c>
      <c r="I355" s="0" t="n">
        <f aca="false">(($G$1^2*1000)/($E$1*$I$1))*(H355-1)</f>
        <v>0.520388382621966</v>
      </c>
      <c r="J355" s="0" t="n">
        <f aca="false">$J$3*EXP(-$E$1*B355*86.4/$G$1)</f>
        <v>369.908885157876</v>
      </c>
      <c r="K355" s="0" t="n">
        <f aca="false">J354-J355</f>
        <v>1.04657391106451</v>
      </c>
    </row>
    <row r="356" customFormat="false" ht="12.8" hidden="false" customHeight="false" outlineLevel="0" collapsed="false">
      <c r="A356" s="0" t="n">
        <v>1</v>
      </c>
      <c r="B356" s="0" t="n">
        <f aca="false">B355+A356</f>
        <v>353</v>
      </c>
      <c r="C356" s="0" t="n">
        <f aca="false">$C$3+($G$1/($E$1*86.4))*SINH($E$1*B356*86.4/$G$1)</f>
        <v>45018.4990465874</v>
      </c>
      <c r="D356" s="0" t="n">
        <f aca="false">C356-$C$3-B356</f>
        <v>61.4990465873925</v>
      </c>
      <c r="E356" s="0" t="n">
        <f aca="false">$E$1*B356*86.4</f>
        <v>299197.152</v>
      </c>
      <c r="F356" s="0" t="n">
        <f aca="false">$G$1*G356</f>
        <v>228140.383417599</v>
      </c>
      <c r="G356" s="0" t="n">
        <f aca="false">TANH($E$1*B356*86.4/$G$1)</f>
        <v>0.760467944725328</v>
      </c>
      <c r="H356" s="0" t="n">
        <f aca="false">COSH($E$1*B356*86.4/$G$1)</f>
        <v>1.53994113028053</v>
      </c>
      <c r="I356" s="0" t="n">
        <f aca="false">(($G$1^2*1000)/($E$1*$I$1))*(H356-1)</f>
        <v>0.52359085396558</v>
      </c>
      <c r="J356" s="0" t="n">
        <f aca="false">$J$3*EXP(-$E$1*B356*86.4/$G$1)</f>
        <v>368.865263938097</v>
      </c>
      <c r="K356" s="0" t="n">
        <f aca="false">J355-J356</f>
        <v>1.04362121977903</v>
      </c>
    </row>
    <row r="357" customFormat="false" ht="12.8" hidden="false" customHeight="false" outlineLevel="0" collapsed="false">
      <c r="A357" s="0" t="n">
        <v>1</v>
      </c>
      <c r="B357" s="0" t="n">
        <f aca="false">B356+A357</f>
        <v>354</v>
      </c>
      <c r="C357" s="0" t="n">
        <f aca="false">$C$3+($G$1/($E$1*86.4))*SINH($E$1*B357*86.4/$G$1)</f>
        <v>45020.0406440761</v>
      </c>
      <c r="D357" s="0" t="n">
        <f aca="false">C357-$C$3-B357</f>
        <v>62.040644076078</v>
      </c>
      <c r="E357" s="0" t="n">
        <f aca="false">$E$1*B357*86.4</f>
        <v>300044.736</v>
      </c>
      <c r="F357" s="0" t="n">
        <f aca="false">$G$1*G357</f>
        <v>228497.032625249</v>
      </c>
      <c r="G357" s="0" t="n">
        <f aca="false">TANH($E$1*B357*86.4/$G$1)</f>
        <v>0.761656775417498</v>
      </c>
      <c r="H357" s="0" t="n">
        <f aca="false">COSH($E$1*B357*86.4/$G$1)</f>
        <v>1.54325589797446</v>
      </c>
      <c r="I357" s="0" t="n">
        <f aca="false">(($G$1^2*1000)/($E$1*$I$1))*(H357-1)</f>
        <v>0.526805245220896</v>
      </c>
      <c r="J357" s="0" t="n">
        <f aca="false">$J$3*EXP(-$E$1*B357*86.4/$G$1)</f>
        <v>367.824587079198</v>
      </c>
      <c r="K357" s="0" t="n">
        <f aca="false">J356-J357</f>
        <v>1.04067685889959</v>
      </c>
    </row>
    <row r="358" customFormat="false" ht="12.8" hidden="false" customHeight="false" outlineLevel="0" collapsed="false">
      <c r="A358" s="0" t="n">
        <v>1</v>
      </c>
      <c r="B358" s="0" t="n">
        <f aca="false">B357+A358</f>
        <v>355</v>
      </c>
      <c r="C358" s="0" t="n">
        <f aca="false">$C$3+($G$1/($E$1*86.4))*SINH($E$1*B358*86.4/$G$1)</f>
        <v>45021.5855624895</v>
      </c>
      <c r="D358" s="0" t="n">
        <f aca="false">C358-$C$3-B358</f>
        <v>62.5855624895412</v>
      </c>
      <c r="E358" s="0" t="n">
        <f aca="false">$E$1*B358*86.4</f>
        <v>300892.32</v>
      </c>
      <c r="F358" s="0" t="n">
        <f aca="false">$G$1*G358</f>
        <v>228852.150190573</v>
      </c>
      <c r="G358" s="0" t="n">
        <f aca="false">TANH($E$1*B358*86.4/$G$1)</f>
        <v>0.762840500635244</v>
      </c>
      <c r="H358" s="0" t="n">
        <f aca="false">COSH($E$1*B358*86.4/$G$1)</f>
        <v>1.54658298426473</v>
      </c>
      <c r="I358" s="0" t="n">
        <f aca="false">(($G$1^2*1000)/($E$1*$I$1))*(H358-1)</f>
        <v>0.530031582045865</v>
      </c>
      <c r="J358" s="0" t="n">
        <f aca="false">$J$3*EXP(-$E$1*B358*86.4/$G$1)</f>
        <v>366.786846274274</v>
      </c>
      <c r="K358" s="0" t="n">
        <f aca="false">J357-J358</f>
        <v>1.037740804924</v>
      </c>
    </row>
    <row r="359" customFormat="false" ht="12.8" hidden="false" customHeight="false" outlineLevel="0" collapsed="false">
      <c r="A359" s="0" t="n">
        <v>1</v>
      </c>
      <c r="B359" s="0" t="n">
        <f aca="false">B358+A359</f>
        <v>356</v>
      </c>
      <c r="C359" s="0" t="n">
        <f aca="false">$C$3+($G$1/($E$1*86.4))*SINH($E$1*B359*86.4/$G$1)</f>
        <v>45023.1338141597</v>
      </c>
      <c r="D359" s="0" t="n">
        <f aca="false">C359-$C$3-B359</f>
        <v>63.1338141596571</v>
      </c>
      <c r="E359" s="0" t="n">
        <f aca="false">$E$1*B359*86.4</f>
        <v>301739.904</v>
      </c>
      <c r="F359" s="0" t="n">
        <f aca="false">$G$1*G359</f>
        <v>229205.740326186</v>
      </c>
      <c r="G359" s="0" t="n">
        <f aca="false">TANH($E$1*B359*86.4/$G$1)</f>
        <v>0.764019134420621</v>
      </c>
      <c r="H359" s="0" t="n">
        <f aca="false">COSH($E$1*B359*86.4/$G$1)</f>
        <v>1.54992241570885</v>
      </c>
      <c r="I359" s="0" t="n">
        <f aca="false">(($G$1^2*1000)/($E$1*$I$1))*(H359-1)</f>
        <v>0.533269890193794</v>
      </c>
      <c r="J359" s="0" t="n">
        <f aca="false">$J$3*EXP(-$E$1*B359*86.4/$G$1)</f>
        <v>365.752033239858</v>
      </c>
      <c r="K359" s="0" t="n">
        <f aca="false">J358-J359</f>
        <v>1.034813034416</v>
      </c>
    </row>
    <row r="360" customFormat="false" ht="12.8" hidden="false" customHeight="false" outlineLevel="0" collapsed="false">
      <c r="A360" s="0" t="n">
        <v>1</v>
      </c>
      <c r="B360" s="0" t="n">
        <f aca="false">B359+A360</f>
        <v>357</v>
      </c>
      <c r="C360" s="0" t="n">
        <f aca="false">$C$3+($G$1/($E$1*86.4))*SINH($E$1*B360*86.4/$G$1)</f>
        <v>45024.6854114449</v>
      </c>
      <c r="D360" s="0" t="n">
        <f aca="false">C360-$C$3-B360</f>
        <v>63.6854114448943</v>
      </c>
      <c r="E360" s="0" t="n">
        <f aca="false">$E$1*B360*86.4</f>
        <v>302587.488</v>
      </c>
      <c r="F360" s="0" t="n">
        <f aca="false">$G$1*G360</f>
        <v>229557.807257104</v>
      </c>
      <c r="G360" s="0" t="n">
        <f aca="false">TANH($E$1*B360*86.4/$G$1)</f>
        <v>0.765192690857012</v>
      </c>
      <c r="H360" s="0" t="n">
        <f aca="false">COSH($E$1*B360*86.4/$G$1)</f>
        <v>1.55327421896289</v>
      </c>
      <c r="I360" s="0" t="n">
        <f aca="false">(($G$1^2*1000)/($E$1*$I$1))*(H360-1)</f>
        <v>0.536520195513546</v>
      </c>
      <c r="J360" s="0" t="n">
        <f aca="false">$J$3*EXP(-$E$1*B360*86.4/$G$1)</f>
        <v>364.720139715852</v>
      </c>
      <c r="K360" s="0" t="n">
        <f aca="false">J359-J360</f>
        <v>1.03189352400523</v>
      </c>
    </row>
    <row r="361" customFormat="false" ht="12.8" hidden="false" customHeight="false" outlineLevel="0" collapsed="false">
      <c r="A361" s="0" t="n">
        <v>1</v>
      </c>
      <c r="B361" s="0" t="n">
        <f aca="false">B360+A361</f>
        <v>358</v>
      </c>
      <c r="C361" s="0" t="n">
        <f aca="false">$C$3+($G$1/($E$1*86.4))*SINH($E$1*B361*86.4/$G$1)</f>
        <v>45026.2403667304</v>
      </c>
      <c r="D361" s="0" t="n">
        <f aca="false">C361-$C$3-B361</f>
        <v>64.2403667304388</v>
      </c>
      <c r="E361" s="0" t="n">
        <f aca="false">$E$1*B361*86.4</f>
        <v>303435.072</v>
      </c>
      <c r="F361" s="0" t="n">
        <f aca="false">$G$1*G361</f>
        <v>229908.355220441</v>
      </c>
      <c r="G361" s="0" t="n">
        <f aca="false">TANH($E$1*B361*86.4/$G$1)</f>
        <v>0.766361184068138</v>
      </c>
      <c r="H361" s="0" t="n">
        <f aca="false">COSH($E$1*B361*86.4/$G$1)</f>
        <v>1.55663842078163</v>
      </c>
      <c r="I361" s="0" t="n">
        <f aca="false">(($G$1^2*1000)/($E$1*$I$1))*(H361-1)</f>
        <v>0.539782523949749</v>
      </c>
      <c r="J361" s="0" t="n">
        <f aca="false">$J$3*EXP(-$E$1*B361*86.4/$G$1)</f>
        <v>363.691157465464</v>
      </c>
      <c r="K361" s="0" t="n">
        <f aca="false">J360-J361</f>
        <v>1.02898225038786</v>
      </c>
    </row>
    <row r="362" customFormat="false" ht="12.8" hidden="false" customHeight="false" outlineLevel="0" collapsed="false">
      <c r="A362" s="0" t="n">
        <v>1</v>
      </c>
      <c r="B362" s="0" t="n">
        <f aca="false">B361+A362</f>
        <v>359</v>
      </c>
      <c r="C362" s="0" t="n">
        <f aca="false">$C$3+($G$1/($E$1*86.4))*SINH($E$1*B362*86.4/$G$1)</f>
        <v>45027.7986924283</v>
      </c>
      <c r="D362" s="0" t="n">
        <f aca="false">C362-$C$3-B362</f>
        <v>64.7986924282668</v>
      </c>
      <c r="E362" s="0" t="n">
        <f aca="false">$E$1*B362*86.4</f>
        <v>304282.656</v>
      </c>
      <c r="F362" s="0" t="n">
        <f aca="false">$G$1*G362</f>
        <v>230257.388465123</v>
      </c>
      <c r="G362" s="0" t="n">
        <f aca="false">TANH($E$1*B362*86.4/$G$1)</f>
        <v>0.767524628217078</v>
      </c>
      <c r="H362" s="0" t="n">
        <f aca="false">COSH($E$1*B362*86.4/$G$1)</f>
        <v>1.56001504801886</v>
      </c>
      <c r="I362" s="0" t="n">
        <f aca="false">(($G$1^2*1000)/($E$1*$I$1))*(H362-1)</f>
        <v>0.543056901543001</v>
      </c>
      <c r="J362" s="0" t="n">
        <f aca="false">$J$3*EXP(-$E$1*B362*86.4/$G$1)</f>
        <v>362.665078275139</v>
      </c>
      <c r="K362" s="0" t="n">
        <f aca="false">J361-J362</f>
        <v>1.02607919032528</v>
      </c>
    </row>
    <row r="363" customFormat="false" ht="12.8" hidden="false" customHeight="false" outlineLevel="0" collapsed="false">
      <c r="A363" s="0" t="n">
        <v>1</v>
      </c>
      <c r="B363" s="0" t="n">
        <f aca="false">B362+A363</f>
        <v>360</v>
      </c>
      <c r="C363" s="0" t="n">
        <f aca="false">$C$3+($G$1/($E$1*86.4))*SINH($E$1*B363*86.4/$G$1)</f>
        <v>45029.3604009773</v>
      </c>
      <c r="D363" s="0" t="n">
        <f aca="false">C363-$C$3-B363</f>
        <v>65.3604009772607</v>
      </c>
      <c r="E363" s="0" t="n">
        <f aca="false">$E$1*B363*86.4</f>
        <v>305130.24</v>
      </c>
      <c r="F363" s="0" t="n">
        <f aca="false">$G$1*G363</f>
        <v>230604.911251587</v>
      </c>
      <c r="G363" s="0" t="n">
        <f aca="false">TANH($E$1*B363*86.4/$G$1)</f>
        <v>0.76868303750529</v>
      </c>
      <c r="H363" s="0" t="n">
        <f aca="false">COSH($E$1*B363*86.4/$G$1)</f>
        <v>1.56340412762754</v>
      </c>
      <c r="I363" s="0" t="n">
        <f aca="false">(($G$1^2*1000)/($E$1*$I$1))*(H363-1)</f>
        <v>0.546343354430079</v>
      </c>
      <c r="J363" s="0" t="n">
        <f aca="false">$J$3*EXP(-$E$1*B363*86.4/$G$1)</f>
        <v>361.641893954494</v>
      </c>
      <c r="K363" s="0" t="n">
        <f aca="false">J362-J363</f>
        <v>1.02318432064482</v>
      </c>
    </row>
    <row r="364" customFormat="false" ht="12.8" hidden="false" customHeight="false" outlineLevel="0" collapsed="false">
      <c r="A364" s="0" t="n">
        <v>1</v>
      </c>
      <c r="B364" s="0" t="n">
        <f aca="false">B363+A364</f>
        <v>361</v>
      </c>
      <c r="C364" s="0" t="n">
        <f aca="false">$C$3+($G$1/($E$1*86.4))*SINH($E$1*B364*86.4/$G$1)</f>
        <v>45030.9255048433</v>
      </c>
      <c r="D364" s="0" t="n">
        <f aca="false">C364-$C$3-B364</f>
        <v>65.9255048433261</v>
      </c>
      <c r="E364" s="0" t="n">
        <f aca="false">$E$1*B364*86.4</f>
        <v>305977.824</v>
      </c>
      <c r="F364" s="0" t="n">
        <f aca="false">$G$1*G364</f>
        <v>230950.927851494</v>
      </c>
      <c r="G364" s="0" t="n">
        <f aca="false">TANH($E$1*B364*86.4/$G$1)</f>
        <v>0.769836426171646</v>
      </c>
      <c r="H364" s="0" t="n">
        <f aca="false">COSH($E$1*B364*86.4/$G$1)</f>
        <v>1.56680568666001</v>
      </c>
      <c r="I364" s="0" t="n">
        <f aca="false">(($G$1^2*1000)/($E$1*$I$1))*(H364-1)</f>
        <v>0.549641908844149</v>
      </c>
      <c r="J364" s="0" t="n">
        <f aca="false">$J$3*EXP(-$E$1*B364*86.4/$G$1)</f>
        <v>360.621596336256</v>
      </c>
      <c r="K364" s="0" t="n">
        <f aca="false">J363-J364</f>
        <v>1.02029761823889</v>
      </c>
    </row>
    <row r="365" customFormat="false" ht="12.8" hidden="false" customHeight="false" outlineLevel="0" collapsed="false">
      <c r="A365" s="0" t="n">
        <v>1</v>
      </c>
      <c r="B365" s="0" t="n">
        <f aca="false">B364+A365</f>
        <v>362</v>
      </c>
      <c r="C365" s="0" t="n">
        <f aca="false">$C$3+($G$1/($E$1*86.4))*SINH($E$1*B365*86.4/$G$1)</f>
        <v>45032.4940165194</v>
      </c>
      <c r="D365" s="0" t="n">
        <f aca="false">C365-$C$3-B365</f>
        <v>66.4940165194421</v>
      </c>
      <c r="E365" s="0" t="n">
        <f aca="false">$E$1*B365*86.4</f>
        <v>306825.408</v>
      </c>
      <c r="F365" s="0" t="n">
        <f aca="false">$G$1*G365</f>
        <v>231295.44254744</v>
      </c>
      <c r="G365" s="0" t="n">
        <f aca="false">TANH($E$1*B365*86.4/$G$1)</f>
        <v>0.770984808491468</v>
      </c>
      <c r="H365" s="0" t="n">
        <f aca="false">COSH($E$1*B365*86.4/$G$1)</f>
        <v>1.57021975226824</v>
      </c>
      <c r="I365" s="0" t="n">
        <f aca="false">(($G$1^2*1000)/($E$1*$I$1))*(H365-1)</f>
        <v>0.552952591114972</v>
      </c>
      <c r="J365" s="0" t="n">
        <f aca="false">$J$3*EXP(-$E$1*B365*86.4/$G$1)</f>
        <v>359.60417727619</v>
      </c>
      <c r="K365" s="0" t="n">
        <f aca="false">J364-J365</f>
        <v>1.01741906006515</v>
      </c>
    </row>
    <row r="366" customFormat="false" ht="12.8" hidden="false" customHeight="false" outlineLevel="0" collapsed="false">
      <c r="A366" s="0" t="n">
        <v>1</v>
      </c>
      <c r="B366" s="0" t="n">
        <f aca="false">B365+A366</f>
        <v>363</v>
      </c>
      <c r="C366" s="0" t="n">
        <f aca="false">$C$3+($G$1/($E$1*86.4))*SINH($E$1*B366*86.4/$G$1)</f>
        <v>45034.0659485258</v>
      </c>
      <c r="D366" s="0" t="n">
        <f aca="false">C366-$C$3-B366</f>
        <v>67.0659485258002</v>
      </c>
      <c r="E366" s="0" t="n">
        <f aca="false">$E$1*B366*86.4</f>
        <v>307672.992</v>
      </c>
      <c r="F366" s="0" t="n">
        <f aca="false">$G$1*G366</f>
        <v>231638.459632672</v>
      </c>
      <c r="G366" s="0" t="n">
        <f aca="false">TANH($E$1*B366*86.4/$G$1)</f>
        <v>0.772128198775574</v>
      </c>
      <c r="H366" s="0" t="n">
        <f aca="false">COSH($E$1*B366*86.4/$G$1)</f>
        <v>1.57364635170403</v>
      </c>
      <c r="I366" s="0" t="n">
        <f aca="false">(($G$1^2*1000)/($E$1*$I$1))*(H366-1)</f>
        <v>0.556275427669117</v>
      </c>
      <c r="J366" s="0" t="n">
        <f aca="false">$J$3*EXP(-$E$1*B366*86.4/$G$1)</f>
        <v>358.589628653044</v>
      </c>
      <c r="K366" s="0" t="n">
        <f aca="false">J365-J366</f>
        <v>1.01454862314654</v>
      </c>
    </row>
    <row r="367" customFormat="false" ht="12.8" hidden="false" customHeight="false" outlineLevel="0" collapsed="false">
      <c r="A367" s="0" t="n">
        <v>1</v>
      </c>
      <c r="B367" s="0" t="n">
        <f aca="false">B366+A367</f>
        <v>364</v>
      </c>
      <c r="C367" s="0" t="n">
        <f aca="false">$C$3+($G$1/($E$1*86.4))*SINH($E$1*B367*86.4/$G$1)</f>
        <v>45035.6413134099</v>
      </c>
      <c r="D367" s="0" t="n">
        <f aca="false">C367-$C$3-B367</f>
        <v>67.6413134099057</v>
      </c>
      <c r="E367" s="0" t="n">
        <f aca="false">$E$1*B367*86.4</f>
        <v>308520.576</v>
      </c>
      <c r="F367" s="0" t="n">
        <f aca="false">$G$1*G367</f>
        <v>231979.983410799</v>
      </c>
      <c r="G367" s="0" t="n">
        <f aca="false">TANH($E$1*B367*86.4/$G$1)</f>
        <v>0.77326661136933</v>
      </c>
      <c r="H367" s="0" t="n">
        <f aca="false">COSH($E$1*B367*86.4/$G$1)</f>
        <v>1.57708551231922</v>
      </c>
      <c r="I367" s="0" t="n">
        <f aca="false">(($G$1^2*1000)/($E$1*$I$1))*(H367-1)</f>
        <v>0.559610445030172</v>
      </c>
      <c r="J367" s="0" t="n">
        <f aca="false">$J$3*EXP(-$E$1*B367*86.4/$G$1)</f>
        <v>357.577942368473</v>
      </c>
      <c r="K367" s="0" t="n">
        <f aca="false">J366-J367</f>
        <v>1.01168628457054</v>
      </c>
    </row>
    <row r="368" customFormat="false" ht="12.8" hidden="false" customHeight="false" outlineLevel="0" collapsed="false">
      <c r="A368" s="0" t="n">
        <v>1</v>
      </c>
      <c r="B368" s="0" t="n">
        <f aca="false">B367+A368</f>
        <v>365</v>
      </c>
      <c r="C368" s="0" t="n">
        <f aca="false">$C$3+($G$1/($E$1*86.4))*SINH($E$1*B368*86.4/$G$1)</f>
        <v>45037.2201237467</v>
      </c>
      <c r="D368" s="0" t="n">
        <f aca="false">C368-$C$3-B368</f>
        <v>68.2201237466506</v>
      </c>
      <c r="E368" s="0" t="n">
        <f aca="false">$E$1*B368*86.4</f>
        <v>309368.16</v>
      </c>
      <c r="F368" s="0" t="n">
        <f aca="false">$G$1*G368</f>
        <v>232320.018195513</v>
      </c>
      <c r="G368" s="0" t="n">
        <f aca="false">TANH($E$1*B368*86.4/$G$1)</f>
        <v>0.77440006065171</v>
      </c>
      <c r="H368" s="0" t="n">
        <f aca="false">COSH($E$1*B368*86.4/$G$1)</f>
        <v>1.58053726156592</v>
      </c>
      <c r="I368" s="0" t="n">
        <f aca="false">(($G$1^2*1000)/($E$1*$I$1))*(H368-1)</f>
        <v>0.562957669818953</v>
      </c>
      <c r="J368" s="0" t="n">
        <f aca="false">$J$3*EXP(-$E$1*B368*86.4/$G$1)</f>
        <v>356.569110346984</v>
      </c>
      <c r="K368" s="0" t="n">
        <f aca="false">J367-J368</f>
        <v>1.00883202148913</v>
      </c>
    </row>
    <row r="369" customFormat="false" ht="12.8" hidden="false" customHeight="false" outlineLevel="0" collapsed="false">
      <c r="A369" s="0" t="n">
        <v>1</v>
      </c>
      <c r="B369" s="0" t="n">
        <f aca="false">B368+A369</f>
        <v>366</v>
      </c>
      <c r="C369" s="0" t="n">
        <f aca="false">$C$3+($G$1/($E$1*86.4))*SINH($E$1*B369*86.4/$G$1)</f>
        <v>45038.8023921384</v>
      </c>
      <c r="D369" s="0" t="n">
        <f aca="false">C369-$C$3-B369</f>
        <v>68.8023921384302</v>
      </c>
      <c r="E369" s="0" t="n">
        <f aca="false">$E$1*B369*86.4</f>
        <v>310215.744</v>
      </c>
      <c r="F369" s="0" t="n">
        <f aca="false">$G$1*G369</f>
        <v>232658.56831031</v>
      </c>
      <c r="G369" s="0" t="n">
        <f aca="false">TANH($E$1*B369*86.4/$G$1)</f>
        <v>0.775528561034365</v>
      </c>
      <c r="H369" s="0" t="n">
        <f aca="false">COSH($E$1*B369*86.4/$G$1)</f>
        <v>1.58400162699674</v>
      </c>
      <c r="I369" s="0" t="n">
        <f aca="false">(($G$1^2*1000)/($E$1*$I$1))*(H369-1)</f>
        <v>0.566317128753719</v>
      </c>
      <c r="J369" s="0" t="n">
        <f aca="false">$J$3*EXP(-$E$1*B369*86.4/$G$1)</f>
        <v>355.563124535865</v>
      </c>
      <c r="K369" s="0" t="n">
        <f aca="false">J368-J369</f>
        <v>1.00598581111939</v>
      </c>
    </row>
    <row r="370" customFormat="false" ht="12.8" hidden="false" customHeight="false" outlineLevel="0" collapsed="false">
      <c r="A370" s="0" t="n">
        <v>1</v>
      </c>
      <c r="B370" s="0" t="n">
        <f aca="false">B369+A370</f>
        <v>367</v>
      </c>
      <c r="C370" s="0" t="n">
        <f aca="false">$C$3+($G$1/($E$1*86.4))*SINH($E$1*B370*86.4/$G$1)</f>
        <v>45040.3881312153</v>
      </c>
      <c r="D370" s="0" t="n">
        <f aca="false">C370-$C$3-B370</f>
        <v>69.3881312152589</v>
      </c>
      <c r="E370" s="0" t="n">
        <f aca="false">$E$1*B370*86.4</f>
        <v>311063.328</v>
      </c>
      <c r="F370" s="0" t="n">
        <f aca="false">$G$1*G370</f>
        <v>232995.638088207</v>
      </c>
      <c r="G370" s="0" t="n">
        <f aca="false">TANH($E$1*B370*86.4/$G$1)</f>
        <v>0.776652126960691</v>
      </c>
      <c r="H370" s="0" t="n">
        <f aca="false">COSH($E$1*B370*86.4/$G$1)</f>
        <v>1.58747863626496</v>
      </c>
      <c r="I370" s="0" t="n">
        <f aca="false">(($G$1^2*1000)/($E$1*$I$1))*(H370-1)</f>
        <v>0.569688848650386</v>
      </c>
      <c r="J370" s="0" t="n">
        <f aca="false">$J$3*EXP(-$E$1*B370*86.4/$G$1)</f>
        <v>354.559976905123</v>
      </c>
      <c r="K370" s="0" t="n">
        <f aca="false">J369-J370</f>
        <v>1.00314763074203</v>
      </c>
    </row>
    <row r="371" customFormat="false" ht="12.8" hidden="false" customHeight="false" outlineLevel="0" collapsed="false">
      <c r="A371" s="0" t="n">
        <v>1</v>
      </c>
      <c r="B371" s="0" t="n">
        <f aca="false">B370+A371</f>
        <v>368</v>
      </c>
      <c r="C371" s="0" t="n">
        <f aca="false">$C$3+($G$1/($E$1*86.4))*SINH($E$1*B371*86.4/$G$1)</f>
        <v>45041.9773536348</v>
      </c>
      <c r="D371" s="0" t="n">
        <f aca="false">C371-$C$3-B371</f>
        <v>69.9773536348293</v>
      </c>
      <c r="E371" s="0" t="n">
        <f aca="false">$E$1*B371*86.4</f>
        <v>311910.912</v>
      </c>
      <c r="F371" s="0" t="n">
        <f aca="false">$G$1*G371</f>
        <v>233331.231871474</v>
      </c>
      <c r="G371" s="0" t="n">
        <f aca="false">TANH($E$1*B371*86.4/$G$1)</f>
        <v>0.777770772904913</v>
      </c>
      <c r="H371" s="0" t="n">
        <f aca="false">COSH($E$1*B371*86.4/$G$1)</f>
        <v>1.59096831712482</v>
      </c>
      <c r="I371" s="0" t="n">
        <f aca="false">(($G$1^2*1000)/($E$1*$I$1))*(H371-1)</f>
        <v>0.573072856422738</v>
      </c>
      <c r="J371" s="0" t="n">
        <f aca="false">$J$3*EXP(-$E$1*B371*86.4/$G$1)</f>
        <v>353.559659447421</v>
      </c>
      <c r="K371" s="0" t="n">
        <f aca="false">J370-J371</f>
        <v>1.00031745770212</v>
      </c>
    </row>
    <row r="372" customFormat="false" ht="12.8" hidden="false" customHeight="false" outlineLevel="0" collapsed="false">
      <c r="A372" s="0" t="n">
        <v>1</v>
      </c>
      <c r="B372" s="0" t="n">
        <f aca="false">B371+A372</f>
        <v>369</v>
      </c>
      <c r="C372" s="0" t="n">
        <f aca="false">$C$3+($G$1/($E$1*86.4))*SINH($E$1*B372*86.4/$G$1)</f>
        <v>45043.5700720827</v>
      </c>
      <c r="D372" s="0" t="n">
        <f aca="false">C372-$C$3-B372</f>
        <v>70.5700720826571</v>
      </c>
      <c r="E372" s="0" t="n">
        <f aca="false">$E$1*B372*86.4</f>
        <v>312758.496</v>
      </c>
      <c r="F372" s="0" t="n">
        <f aca="false">$G$1*G372</f>
        <v>233665.354011352</v>
      </c>
      <c r="G372" s="0" t="n">
        <f aca="false">TANH($E$1*B372*86.4/$G$1)</f>
        <v>0.778884513371174</v>
      </c>
      <c r="H372" s="0" t="n">
        <f aca="false">COSH($E$1*B372*86.4/$G$1)</f>
        <v>1.59447069743169</v>
      </c>
      <c r="I372" s="0" t="n">
        <f aca="false">(($G$1^2*1000)/($E$1*$I$1))*(H372-1)</f>
        <v>0.576469179082643</v>
      </c>
      <c r="J372" s="0" t="n">
        <f aca="false">$J$3*EXP(-$E$1*B372*86.4/$G$1)</f>
        <v>352.562164178012</v>
      </c>
      <c r="K372" s="0" t="n">
        <f aca="false">J371-J372</f>
        <v>0.997495269408489</v>
      </c>
    </row>
    <row r="373" customFormat="false" ht="12.8" hidden="false" customHeight="false" outlineLevel="0" collapsed="false">
      <c r="A373" s="0" t="n">
        <v>1</v>
      </c>
      <c r="B373" s="0" t="n">
        <f aca="false">B372+A373</f>
        <v>370</v>
      </c>
      <c r="C373" s="0" t="n">
        <f aca="false">$C$3+($G$1/($E$1*86.4))*SINH($E$1*B373*86.4/$G$1)</f>
        <v>45045.1662992722</v>
      </c>
      <c r="D373" s="0" t="n">
        <f aca="false">C373-$C$3-B373</f>
        <v>71.166299272154</v>
      </c>
      <c r="E373" s="0" t="n">
        <f aca="false">$E$1*B373*86.4</f>
        <v>313606.08</v>
      </c>
      <c r="F373" s="0" t="n">
        <f aca="false">$G$1*G373</f>
        <v>233998.008867788</v>
      </c>
      <c r="G373" s="0" t="n">
        <f aca="false">TANH($E$1*B373*86.4/$G$1)</f>
        <v>0.779993362892627</v>
      </c>
      <c r="H373" s="0" t="n">
        <f aca="false">COSH($E$1*B373*86.4/$G$1)</f>
        <v>1.59798580514232</v>
      </c>
      <c r="I373" s="0" t="n">
        <f aca="false">(($G$1^2*1000)/($E$1*$I$1))*(H373-1)</f>
        <v>0.57987784374027</v>
      </c>
      <c r="J373" s="0" t="n">
        <f aca="false">$J$3*EXP(-$E$1*B373*86.4/$G$1)</f>
        <v>351.567483134678</v>
      </c>
      <c r="K373" s="0" t="n">
        <f aca="false">J372-J373</f>
        <v>0.994681043333969</v>
      </c>
    </row>
    <row r="374" customFormat="false" ht="12.8" hidden="false" customHeight="false" outlineLevel="0" collapsed="false">
      <c r="A374" s="0" t="n">
        <v>1</v>
      </c>
      <c r="B374" s="0" t="n">
        <f aca="false">B373+A374</f>
        <v>371</v>
      </c>
      <c r="C374" s="0" t="n">
        <f aca="false">$C$3+($G$1/($E$1*86.4))*SINH($E$1*B374*86.4/$G$1)</f>
        <v>45046.7660479448</v>
      </c>
      <c r="D374" s="0" t="n">
        <f aca="false">C374-$C$3-B374</f>
        <v>71.7660479447586</v>
      </c>
      <c r="E374" s="0" t="n">
        <f aca="false">$E$1*B374*86.4</f>
        <v>314453.664</v>
      </c>
      <c r="F374" s="0" t="n">
        <f aca="false">$G$1*G374</f>
        <v>234329.200809162</v>
      </c>
      <c r="G374" s="0" t="n">
        <f aca="false">TANH($E$1*B374*86.4/$G$1)</f>
        <v>0.781097336030539</v>
      </c>
      <c r="H374" s="0" t="n">
        <f aca="false">COSH($E$1*B374*86.4/$G$1)</f>
        <v>1.60151366831503</v>
      </c>
      <c r="I374" s="0" t="n">
        <f aca="false">(($G$1^2*1000)/($E$1*$I$1))*(H374-1)</f>
        <v>0.583298877604304</v>
      </c>
      <c r="J374" s="0" t="n">
        <f aca="false">$J$3*EXP(-$E$1*B374*86.4/$G$1)</f>
        <v>350.575608377663</v>
      </c>
      <c r="K374" s="0" t="n">
        <f aca="false">J373-J374</f>
        <v>0.991874757015012</v>
      </c>
    </row>
    <row r="375" customFormat="false" ht="12.8" hidden="false" customHeight="false" outlineLevel="0" collapsed="false">
      <c r="A375" s="0" t="n">
        <v>1</v>
      </c>
      <c r="B375" s="0" t="n">
        <f aca="false">B374+A375</f>
        <v>372</v>
      </c>
      <c r="C375" s="0" t="n">
        <f aca="false">$C$3+($G$1/($E$1*86.4))*SINH($E$1*B375*86.4/$G$1)</f>
        <v>45048.36933087</v>
      </c>
      <c r="D375" s="0" t="n">
        <f aca="false">C375-$C$3-B375</f>
        <v>72.3693308699949</v>
      </c>
      <c r="E375" s="0" t="n">
        <f aca="false">$E$1*B375*86.4</f>
        <v>315301.248</v>
      </c>
      <c r="F375" s="0" t="n">
        <f aca="false">$G$1*G375</f>
        <v>234658.934212019</v>
      </c>
      <c r="G375" s="0" t="n">
        <f aca="false">TANH($E$1*B375*86.4/$G$1)</f>
        <v>0.782196447373398</v>
      </c>
      <c r="H375" s="0" t="n">
        <f aca="false">COSH($E$1*B375*86.4/$G$1)</f>
        <v>1.60505431510998</v>
      </c>
      <c r="I375" s="0" t="n">
        <f aca="false">(($G$1^2*1000)/($E$1*$I$1))*(H375-1)</f>
        <v>0.586732307982164</v>
      </c>
      <c r="J375" s="0" t="n">
        <f aca="false">$J$3*EXP(-$E$1*B375*86.4/$G$1)</f>
        <v>349.586531989612</v>
      </c>
      <c r="K375" s="0" t="n">
        <f aca="false">J374-J375</f>
        <v>0.989076388050705</v>
      </c>
    </row>
    <row r="376" customFormat="false" ht="12.8" hidden="false" customHeight="false" outlineLevel="0" collapsed="false">
      <c r="A376" s="0" t="n">
        <v>1</v>
      </c>
      <c r="B376" s="0" t="n">
        <f aca="false">B375+A376</f>
        <v>373</v>
      </c>
      <c r="C376" s="0" t="n">
        <f aca="false">$C$3+($G$1/($E$1*86.4))*SINH($E$1*B376*86.4/$G$1)</f>
        <v>45049.9761608456</v>
      </c>
      <c r="D376" s="0" t="n">
        <f aca="false">C376-$C$3-B376</f>
        <v>72.9761608456029</v>
      </c>
      <c r="E376" s="0" t="n">
        <f aca="false">$E$1*B376*86.4</f>
        <v>316148.832</v>
      </c>
      <c r="F376" s="0" t="n">
        <f aca="false">$G$1*G376</f>
        <v>234987.213460809</v>
      </c>
      <c r="G376" s="0" t="n">
        <f aca="false">TANH($E$1*B376*86.4/$G$1)</f>
        <v>0.78329071153603</v>
      </c>
      <c r="H376" s="0" t="n">
        <f aca="false">COSH($E$1*B376*86.4/$G$1)</f>
        <v>1.60860777378938</v>
      </c>
      <c r="I376" s="0" t="n">
        <f aca="false">(($G$1^2*1000)/($E$1*$I$1))*(H376-1)</f>
        <v>0.590178162280222</v>
      </c>
      <c r="J376" s="0" t="n">
        <f aca="false">$J$3*EXP(-$E$1*B376*86.4/$G$1)</f>
        <v>348.600246075508</v>
      </c>
      <c r="K376" s="0" t="n">
        <f aca="false">J375-J376</f>
        <v>0.986285914104542</v>
      </c>
    </row>
    <row r="377" customFormat="false" ht="12.8" hidden="false" customHeight="false" outlineLevel="0" collapsed="false">
      <c r="A377" s="0" t="n">
        <v>1</v>
      </c>
      <c r="B377" s="0" t="n">
        <f aca="false">B376+A377</f>
        <v>374</v>
      </c>
      <c r="C377" s="0" t="n">
        <f aca="false">$C$3+($G$1/($E$1*86.4))*SINH($E$1*B377*86.4/$G$1)</f>
        <v>45051.5865506977</v>
      </c>
      <c r="D377" s="0" t="n">
        <f aca="false">C377-$C$3-B377</f>
        <v>73.5865506976552</v>
      </c>
      <c r="E377" s="0" t="n">
        <f aca="false">$E$1*B377*86.4</f>
        <v>316996.416</v>
      </c>
      <c r="F377" s="0" t="n">
        <f aca="false">$G$1*G377</f>
        <v>235314.042947616</v>
      </c>
      <c r="G377" s="0" t="n">
        <f aca="false">TANH($E$1*B377*86.4/$G$1)</f>
        <v>0.784380143158721</v>
      </c>
      <c r="H377" s="0" t="n">
        <f aca="false">COSH($E$1*B377*86.4/$G$1)</f>
        <v>1.61217407271767</v>
      </c>
      <c r="I377" s="0" t="n">
        <f aca="false">(($G$1^2*1000)/($E$1*$I$1))*(H377-1)</f>
        <v>0.593636468004017</v>
      </c>
      <c r="J377" s="0" t="n">
        <f aca="false">$J$3*EXP(-$E$1*B377*86.4/$G$1)</f>
        <v>347.616742762606</v>
      </c>
      <c r="K377" s="0" t="n">
        <f aca="false">J376-J377</f>
        <v>0.983503312901746</v>
      </c>
    </row>
    <row r="378" customFormat="false" ht="12.8" hidden="false" customHeight="false" outlineLevel="0" collapsed="false">
      <c r="A378" s="0" t="n">
        <v>1</v>
      </c>
      <c r="B378" s="0" t="n">
        <f aca="false">B377+A378</f>
        <v>375</v>
      </c>
      <c r="C378" s="0" t="n">
        <f aca="false">$C$3+($G$1/($E$1*86.4))*SINH($E$1*B378*86.4/$G$1)</f>
        <v>45053.2005132806</v>
      </c>
      <c r="D378" s="0" t="n">
        <f aca="false">C378-$C$3-B378</f>
        <v>74.200513280608</v>
      </c>
      <c r="E378" s="0" t="n">
        <f aca="false">$E$1*B378*86.4</f>
        <v>317844</v>
      </c>
      <c r="F378" s="0" t="n">
        <f aca="false">$G$1*G378</f>
        <v>235639.427071905</v>
      </c>
      <c r="G378" s="0" t="n">
        <f aca="false">TANH($E$1*B378*86.4/$G$1)</f>
        <v>0.785464756906351</v>
      </c>
      <c r="H378" s="0" t="n">
        <f aca="false">COSH($E$1*B378*86.4/$G$1)</f>
        <v>1.61575324036182</v>
      </c>
      <c r="I378" s="0" t="n">
        <f aca="false">(($G$1^2*1000)/($E$1*$I$1))*(H378-1)</f>
        <v>0.59710725275848</v>
      </c>
      <c r="J378" s="0" t="n">
        <f aca="false">$J$3*EXP(-$E$1*B378*86.4/$G$1)</f>
        <v>346.636014200375</v>
      </c>
      <c r="K378" s="0" t="n">
        <f aca="false">J377-J378</f>
        <v>0.980728562231377</v>
      </c>
    </row>
    <row r="379" customFormat="false" ht="12.8" hidden="false" customHeight="false" outlineLevel="0" collapsed="false">
      <c r="A379" s="0" t="n">
        <v>1</v>
      </c>
      <c r="B379" s="0" t="n">
        <f aca="false">B378+A379</f>
        <v>376</v>
      </c>
      <c r="C379" s="0" t="n">
        <f aca="false">$C$3+($G$1/($E$1*86.4))*SINH($E$1*B379*86.4/$G$1)</f>
        <v>45054.8180614775</v>
      </c>
      <c r="D379" s="0" t="n">
        <f aca="false">C379-$C$3-B379</f>
        <v>74.8180614774683</v>
      </c>
      <c r="E379" s="0" t="n">
        <f aca="false">$E$1*B379*86.4</f>
        <v>318691.584</v>
      </c>
      <c r="F379" s="0" t="n">
        <f aca="false">$G$1*G379</f>
        <v>235963.370240257</v>
      </c>
      <c r="G379" s="0" t="n">
        <f aca="false">TANH($E$1*B379*86.4/$G$1)</f>
        <v>0.786544567467525</v>
      </c>
      <c r="H379" s="0" t="n">
        <f aca="false">COSH($E$1*B379*86.4/$G$1)</f>
        <v>1.6193453052915</v>
      </c>
      <c r="I379" s="0" t="n">
        <f aca="false">(($G$1^2*1000)/($E$1*$I$1))*(H379-1)</f>
        <v>0.600590544248153</v>
      </c>
      <c r="J379" s="0" t="n">
        <f aca="false">$J$3*EXP(-$E$1*B379*86.4/$G$1)</f>
        <v>345.65805256043</v>
      </c>
      <c r="K379" s="0" t="n">
        <f aca="false">J378-J379</f>
        <v>0.977961639944738</v>
      </c>
    </row>
    <row r="380" customFormat="false" ht="12.8" hidden="false" customHeight="false" outlineLevel="0" collapsed="false">
      <c r="A380" s="0" t="n">
        <v>1</v>
      </c>
      <c r="B380" s="0" t="n">
        <f aca="false">B379+A380</f>
        <v>377</v>
      </c>
      <c r="C380" s="0" t="n">
        <f aca="false">$C$3+($G$1/($E$1*86.4))*SINH($E$1*B380*86.4/$G$1)</f>
        <v>45056.4392081998</v>
      </c>
      <c r="D380" s="0" t="n">
        <f aca="false">C380-$C$3-B380</f>
        <v>75.4392081998449</v>
      </c>
      <c r="E380" s="0" t="n">
        <f aca="false">$E$1*B380*86.4</f>
        <v>319539.168</v>
      </c>
      <c r="F380" s="0" t="n">
        <f aca="false">$G$1*G380</f>
        <v>236285.876866117</v>
      </c>
      <c r="G380" s="0" t="n">
        <f aca="false">TANH($E$1*B380*86.4/$G$1)</f>
        <v>0.787619589553723</v>
      </c>
      <c r="H380" s="0" t="n">
        <f aca="false">COSH($E$1*B380*86.4/$G$1)</f>
        <v>1.62295029617933</v>
      </c>
      <c r="I380" s="0" t="n">
        <f aca="false">(($G$1^2*1000)/($E$1*$I$1))*(H380-1)</f>
        <v>0.604086370277408</v>
      </c>
      <c r="J380" s="0" t="n">
        <f aca="false">$J$3*EXP(-$E$1*B380*86.4/$G$1)</f>
        <v>344.682850036474</v>
      </c>
      <c r="K380" s="0" t="n">
        <f aca="false">J379-J380</f>
        <v>0.975202523955602</v>
      </c>
    </row>
    <row r="381" customFormat="false" ht="12.8" hidden="false" customHeight="false" outlineLevel="0" collapsed="false">
      <c r="A381" s="0" t="n">
        <v>1</v>
      </c>
      <c r="B381" s="0" t="n">
        <f aca="false">B380+A381</f>
        <v>378</v>
      </c>
      <c r="C381" s="0" t="n">
        <f aca="false">$C$3+($G$1/($E$1*86.4))*SINH($E$1*B381*86.4/$G$1)</f>
        <v>45058.0639663881</v>
      </c>
      <c r="D381" s="0" t="n">
        <f aca="false">C381-$C$3-B381</f>
        <v>76.063966388072</v>
      </c>
      <c r="E381" s="0" t="n">
        <f aca="false">$E$1*B381*86.4</f>
        <v>320386.752</v>
      </c>
      <c r="F381" s="0" t="n">
        <f aca="false">$G$1*G381</f>
        <v>236606.951369534</v>
      </c>
      <c r="G381" s="0" t="n">
        <f aca="false">TANH($E$1*B381*86.4/$G$1)</f>
        <v>0.788689837898447</v>
      </c>
      <c r="H381" s="0" t="n">
        <f aca="false">COSH($E$1*B381*86.4/$G$1)</f>
        <v>1.62656824180113</v>
      </c>
      <c r="I381" s="0" t="n">
        <f aca="false">(($G$1^2*1000)/($E$1*$I$1))*(H381-1)</f>
        <v>0.607594758750671</v>
      </c>
      <c r="J381" s="0" t="n">
        <f aca="false">$J$3*EXP(-$E$1*B381*86.4/$G$1)</f>
        <v>343.710398844234</v>
      </c>
      <c r="K381" s="0" t="n">
        <f aca="false">J380-J381</f>
        <v>0.972451192239987</v>
      </c>
    </row>
    <row r="382" customFormat="false" ht="12.8" hidden="false" customHeight="false" outlineLevel="0" collapsed="false">
      <c r="A382" s="0" t="n">
        <v>1</v>
      </c>
      <c r="B382" s="0" t="n">
        <f aca="false">B381+A382</f>
        <v>379</v>
      </c>
      <c r="C382" s="0" t="n">
        <f aca="false">$C$3+($G$1/($E$1*86.4))*SINH($E$1*B382*86.4/$G$1)</f>
        <v>45059.6923490113</v>
      </c>
      <c r="D382" s="0" t="n">
        <f aca="false">C382-$C$3-B382</f>
        <v>76.6923490113186</v>
      </c>
      <c r="E382" s="0" t="n">
        <f aca="false">$E$1*B382*86.4</f>
        <v>321234.336</v>
      </c>
      <c r="F382" s="0" t="n">
        <f aca="false">$G$1*G382</f>
        <v>236926.598176915</v>
      </c>
      <c r="G382" s="0" t="n">
        <f aca="false">TANH($E$1*B382*86.4/$G$1)</f>
        <v>0.789755327256384</v>
      </c>
      <c r="H382" s="0" t="n">
        <f aca="false">COSH($E$1*B382*86.4/$G$1)</f>
        <v>1.63019917103609</v>
      </c>
      <c r="I382" s="0" t="n">
        <f aca="false">(($G$1^2*1000)/($E$1*$I$1))*(H382-1)</f>
        <v>0.611115737672643</v>
      </c>
      <c r="J382" s="0" t="n">
        <f aca="false">$J$3*EXP(-$E$1*B382*86.4/$G$1)</f>
        <v>342.740691221398</v>
      </c>
      <c r="K382" s="0" t="n">
        <f aca="false">J381-J382</f>
        <v>0.969707622836495</v>
      </c>
    </row>
    <row r="383" customFormat="false" ht="12.8" hidden="false" customHeight="false" outlineLevel="0" collapsed="false">
      <c r="A383" s="0" t="n">
        <v>1</v>
      </c>
      <c r="B383" s="0" t="n">
        <f aca="false">B382+A383</f>
        <v>380</v>
      </c>
      <c r="C383" s="0" t="n">
        <f aca="false">$C$3+($G$1/($E$1*86.4))*SINH($E$1*B383*86.4/$G$1)</f>
        <v>45061.3243690677</v>
      </c>
      <c r="D383" s="0" t="n">
        <f aca="false">C383-$C$3-B383</f>
        <v>77.3243690676754</v>
      </c>
      <c r="E383" s="0" t="n">
        <f aca="false">$E$1*B383*86.4</f>
        <v>322081.92</v>
      </c>
      <c r="F383" s="0" t="n">
        <f aca="false">$G$1*G383</f>
        <v>237244.82172077</v>
      </c>
      <c r="G383" s="0" t="n">
        <f aca="false">TANH($E$1*B383*86.4/$G$1)</f>
        <v>0.790816072402566</v>
      </c>
      <c r="H383" s="0" t="n">
        <f aca="false">COSH($E$1*B383*86.4/$G$1)</f>
        <v>1.63384311286708</v>
      </c>
      <c r="I383" s="0" t="n">
        <f aca="false">(($G$1^2*1000)/($E$1*$I$1))*(H383-1)</f>
        <v>0.614649335148527</v>
      </c>
      <c r="J383" s="0" t="n">
        <f aca="false">$J$3*EXP(-$E$1*B383*86.4/$G$1)</f>
        <v>341.773719427553</v>
      </c>
      <c r="K383" s="0" t="n">
        <f aca="false">J382-J383</f>
        <v>0.966971793845062</v>
      </c>
    </row>
    <row r="384" customFormat="false" ht="12.8" hidden="false" customHeight="false" outlineLevel="0" collapsed="false">
      <c r="A384" s="0" t="n">
        <v>1</v>
      </c>
      <c r="B384" s="0" t="n">
        <f aca="false">B383+A384</f>
        <v>381</v>
      </c>
      <c r="C384" s="0" t="n">
        <f aca="false">$C$3+($G$1/($E$1*86.4))*SINH($E$1*B384*86.4/$G$1)</f>
        <v>45062.9600395843</v>
      </c>
      <c r="D384" s="0" t="n">
        <f aca="false">C384-$C$3-B384</f>
        <v>77.960039584279</v>
      </c>
      <c r="E384" s="0" t="n">
        <f aca="false">$E$1*B384*86.4</f>
        <v>322929.504</v>
      </c>
      <c r="F384" s="0" t="n">
        <f aca="false">$G$1*G384</f>
        <v>237561.626439464</v>
      </c>
      <c r="G384" s="0" t="n">
        <f aca="false">TANH($E$1*B384*86.4/$G$1)</f>
        <v>0.791872088131547</v>
      </c>
      <c r="H384" s="0" t="n">
        <f aca="false">COSH($E$1*B384*86.4/$G$1)</f>
        <v>1.63750009638079</v>
      </c>
      <c r="I384" s="0" t="n">
        <f aca="false">(($G$1^2*1000)/($E$1*$I$1))*(H384-1)</f>
        <v>0.618195579384247</v>
      </c>
      <c r="J384" s="0" t="n">
        <f aca="false">$J$3*EXP(-$E$1*B384*86.4/$G$1)</f>
        <v>340.809475744125</v>
      </c>
      <c r="K384" s="0" t="n">
        <f aca="false">J383-J384</f>
        <v>0.964243683428038</v>
      </c>
    </row>
    <row r="385" customFormat="false" ht="12.8" hidden="false" customHeight="false" outlineLevel="0" collapsed="false">
      <c r="A385" s="0" t="n">
        <v>1</v>
      </c>
      <c r="B385" s="0" t="n">
        <f aca="false">B384+A385</f>
        <v>382</v>
      </c>
      <c r="C385" s="0" t="n">
        <f aca="false">$C$3+($G$1/($E$1*86.4))*SINH($E$1*B385*86.4/$G$1)</f>
        <v>45064.5993736174</v>
      </c>
      <c r="D385" s="0" t="n">
        <f aca="false">C385-$C$3-B385</f>
        <v>78.5993736173914</v>
      </c>
      <c r="E385" s="0" t="n">
        <f aca="false">$E$1*B385*86.4</f>
        <v>323777.088</v>
      </c>
      <c r="F385" s="0" t="n">
        <f aca="false">$G$1*G385</f>
        <v>237877.016776975</v>
      </c>
      <c r="G385" s="0" t="n">
        <f aca="false">TANH($E$1*B385*86.4/$G$1)</f>
        <v>0.792923389256582</v>
      </c>
      <c r="H385" s="0" t="n">
        <f aca="false">COSH($E$1*B385*86.4/$G$1)</f>
        <v>1.64117015076807</v>
      </c>
      <c r="I385" s="0" t="n">
        <f aca="false">(($G$1^2*1000)/($E$1*$I$1))*(H385-1)</f>
        <v>0.621754498686679</v>
      </c>
      <c r="J385" s="0" t="n">
        <f aca="false">$J$3*EXP(-$E$1*B385*86.4/$G$1)</f>
        <v>339.847952474316</v>
      </c>
      <c r="K385" s="0" t="n">
        <f aca="false">J384-J385</f>
        <v>0.961523269808765</v>
      </c>
    </row>
    <row r="386" customFormat="false" ht="12.8" hidden="false" customHeight="false" outlineLevel="0" collapsed="false">
      <c r="A386" s="0" t="n">
        <v>1</v>
      </c>
      <c r="B386" s="0" t="n">
        <f aca="false">B385+A386</f>
        <v>383</v>
      </c>
      <c r="C386" s="0" t="n">
        <f aca="false">$C$3+($G$1/($E$1*86.4))*SINH($E$1*B386*86.4/$G$1)</f>
        <v>45066.2423842525</v>
      </c>
      <c r="D386" s="0" t="n">
        <f aca="false">C386-$C$3-B386</f>
        <v>79.2423842525386</v>
      </c>
      <c r="E386" s="0" t="n">
        <f aca="false">$E$1*B386*86.4</f>
        <v>324624.672</v>
      </c>
      <c r="F386" s="0" t="n">
        <f aca="false">$G$1*G386</f>
        <v>238190.997182643</v>
      </c>
      <c r="G386" s="0" t="n">
        <f aca="false">TANH($E$1*B386*86.4/$G$1)</f>
        <v>0.79396999060881</v>
      </c>
      <c r="H386" s="0" t="n">
        <f aca="false">COSH($E$1*B386*86.4/$G$1)</f>
        <v>1.64485330532405</v>
      </c>
      <c r="I386" s="0" t="n">
        <f aca="false">(($G$1^2*1000)/($E$1*$I$1))*(H386-1)</f>
        <v>0.625326121463873</v>
      </c>
      <c r="J386" s="0" t="n">
        <f aca="false">$J$3*EXP(-$E$1*B386*86.4/$G$1)</f>
        <v>338.889141943044</v>
      </c>
      <c r="K386" s="0" t="n">
        <f aca="false">J385-J386</f>
        <v>0.958810531272491</v>
      </c>
    </row>
    <row r="387" customFormat="false" ht="12.8" hidden="false" customHeight="false" outlineLevel="0" collapsed="false">
      <c r="A387" s="0" t="n">
        <v>1</v>
      </c>
      <c r="B387" s="0" t="n">
        <f aca="false">B386+A387</f>
        <v>384</v>
      </c>
      <c r="C387" s="0" t="n">
        <f aca="false">$C$3+($G$1/($E$1*86.4))*SINH($E$1*B387*86.4/$G$1)</f>
        <v>45067.8890846046</v>
      </c>
      <c r="D387" s="0" t="n">
        <f aca="false">C387-$C$3-B387</f>
        <v>79.8890846045615</v>
      </c>
      <c r="E387" s="0" t="n">
        <f aca="false">$E$1*B387*86.4</f>
        <v>325472.256</v>
      </c>
      <c r="F387" s="0" t="n">
        <f aca="false">$G$1*G387</f>
        <v>238503.572110936</v>
      </c>
      <c r="G387" s="0" t="n">
        <f aca="false">TANH($E$1*B387*86.4/$G$1)</f>
        <v>0.795011907036453</v>
      </c>
      <c r="H387" s="0" t="n">
        <f aca="false">COSH($E$1*B387*86.4/$G$1)</f>
        <v>1.64854958944846</v>
      </c>
      <c r="I387" s="0" t="n">
        <f aca="false">(($G$1^2*1000)/($E$1*$I$1))*(H387-1)</f>
        <v>0.628910476225279</v>
      </c>
      <c r="J387" s="0" t="n">
        <f aca="false">$J$3*EXP(-$E$1*B387*86.4/$G$1)</f>
        <v>337.933036496878</v>
      </c>
      <c r="K387" s="0" t="n">
        <f aca="false">J386-J387</f>
        <v>0.956105446165452</v>
      </c>
    </row>
    <row r="388" customFormat="false" ht="12.8" hidden="false" customHeight="false" outlineLevel="0" collapsed="false">
      <c r="A388" s="0" t="n">
        <v>1</v>
      </c>
      <c r="B388" s="0" t="n">
        <f aca="false">B387+A388</f>
        <v>385</v>
      </c>
      <c r="C388" s="0" t="n">
        <f aca="false">$C$3+($G$1/($E$1*86.4))*SINH($E$1*B388*86.4/$G$1)</f>
        <v>45069.5394878178</v>
      </c>
      <c r="D388" s="0" t="n">
        <f aca="false">C388-$C$3-B388</f>
        <v>80.5394878177904</v>
      </c>
      <c r="E388" s="0" t="n">
        <f aca="false">$E$1*B388*86.4</f>
        <v>326319.84</v>
      </c>
      <c r="F388" s="0" t="n">
        <f aca="false">$G$1*G388</f>
        <v>238814.746021204</v>
      </c>
      <c r="G388" s="0" t="n">
        <f aca="false">TANH($E$1*B388*86.4/$G$1)</f>
        <v>0.796049153404013</v>
      </c>
      <c r="H388" s="0" t="n">
        <f aca="false">COSH($E$1*B388*86.4/$G$1)</f>
        <v>1.65225903264583</v>
      </c>
      <c r="I388" s="0" t="n">
        <f aca="false">(($G$1^2*1000)/($E$1*$I$1))*(H388-1)</f>
        <v>0.632507591581979</v>
      </c>
      <c r="J388" s="0" t="n">
        <f aca="false">$J$3*EXP(-$E$1*B388*86.4/$G$1)</f>
        <v>336.979628503983</v>
      </c>
      <c r="K388" s="0" t="n">
        <f aca="false">J387-J388</f>
        <v>0.953407992895279</v>
      </c>
    </row>
    <row r="389" customFormat="false" ht="12.8" hidden="false" customHeight="false" outlineLevel="0" collapsed="false">
      <c r="A389" s="0" t="n">
        <v>1</v>
      </c>
      <c r="B389" s="0" t="n">
        <f aca="false">B388+A389</f>
        <v>386</v>
      </c>
      <c r="C389" s="0" t="n">
        <f aca="false">$C$3+($G$1/($E$1*86.4))*SINH($E$1*B389*86.4/$G$1)</f>
        <v>45071.1936070661</v>
      </c>
      <c r="D389" s="0" t="n">
        <f aca="false">C389-$C$3-B389</f>
        <v>81.1936070660813</v>
      </c>
      <c r="E389" s="0" t="n">
        <f aca="false">$E$1*B389*86.4</f>
        <v>327167.424</v>
      </c>
      <c r="F389" s="0" t="n">
        <f aca="false">$G$1*G389</f>
        <v>239124.523377444</v>
      </c>
      <c r="G389" s="0" t="n">
        <f aca="false">TANH($E$1*B389*86.4/$G$1)</f>
        <v>0.797081744591481</v>
      </c>
      <c r="H389" s="0" t="n">
        <f aca="false">COSH($E$1*B389*86.4/$G$1)</f>
        <v>1.65598166452571</v>
      </c>
      <c r="I389" s="0" t="n">
        <f aca="false">(($G$1^2*1000)/($E$1*$I$1))*(H389-1)</f>
        <v>0.636117496246912</v>
      </c>
      <c r="J389" s="0" t="n">
        <f aca="false">$J$3*EXP(-$E$1*B389*86.4/$G$1)</f>
        <v>336.028910354053</v>
      </c>
      <c r="K389" s="0" t="n">
        <f aca="false">J388-J389</f>
        <v>0.950718149930026</v>
      </c>
    </row>
    <row r="390" customFormat="false" ht="12.8" hidden="false" customHeight="false" outlineLevel="0" collapsed="false">
      <c r="A390" s="0" t="n">
        <v>1</v>
      </c>
      <c r="B390" s="0" t="n">
        <f aca="false">B389+A390</f>
        <v>387</v>
      </c>
      <c r="C390" s="0" t="n">
        <f aca="false">$C$3+($G$1/($E$1*86.4))*SINH($E$1*B390*86.4/$G$1)</f>
        <v>45072.851455553</v>
      </c>
      <c r="D390" s="0" t="n">
        <f aca="false">C390-$C$3-B390</f>
        <v>81.8514555529691</v>
      </c>
      <c r="E390" s="0" t="n">
        <f aca="false">$E$1*B390*86.4</f>
        <v>328015.008</v>
      </c>
      <c r="F390" s="0" t="n">
        <f aca="false">$G$1*G390</f>
        <v>239432.908648066</v>
      </c>
      <c r="G390" s="0" t="n">
        <f aca="false">TANH($E$1*B390*86.4/$G$1)</f>
        <v>0.798109695493552</v>
      </c>
      <c r="H390" s="0" t="n">
        <f aca="false">COSH($E$1*B390*86.4/$G$1)</f>
        <v>1.65971751480296</v>
      </c>
      <c r="I390" s="0" t="n">
        <f aca="false">(($G$1^2*1000)/($E$1*$I$1))*(H390-1)</f>
        <v>0.639740219035103</v>
      </c>
      <c r="J390" s="0" t="n">
        <f aca="false">$J$3*EXP(-$E$1*B390*86.4/$G$1)</f>
        <v>335.080874458254</v>
      </c>
      <c r="K390" s="0" t="n">
        <f aca="false">J389-J390</f>
        <v>0.94803589579908</v>
      </c>
    </row>
    <row r="391" customFormat="false" ht="12.8" hidden="false" customHeight="false" outlineLevel="0" collapsed="false">
      <c r="A391" s="0" t="n">
        <v>1</v>
      </c>
      <c r="B391" s="0" t="n">
        <f aca="false">B390+A391</f>
        <v>388</v>
      </c>
      <c r="C391" s="0" t="n">
        <f aca="false">$C$3+($G$1/($E$1*86.4))*SINH($E$1*B391*86.4/$G$1)</f>
        <v>45074.5130465118</v>
      </c>
      <c r="D391" s="0" t="n">
        <f aca="false">C391-$C$3-B391</f>
        <v>82.5130465117618</v>
      </c>
      <c r="E391" s="0" t="n">
        <f aca="false">$E$1*B391*86.4</f>
        <v>328862.592</v>
      </c>
      <c r="F391" s="0" t="n">
        <f aca="false">$G$1*G391</f>
        <v>239739.906305654</v>
      </c>
      <c r="G391" s="0" t="n">
        <f aca="false">TANH($E$1*B391*86.4/$G$1)</f>
        <v>0.799133021018846</v>
      </c>
      <c r="H391" s="0" t="n">
        <f aca="false">COSH($E$1*B391*86.4/$G$1)</f>
        <v>1.66346661329791</v>
      </c>
      <c r="I391" s="0" t="n">
        <f aca="false">(($G$1^2*1000)/($E$1*$I$1))*(H391-1)</f>
        <v>0.643375788863895</v>
      </c>
      <c r="J391" s="0" t="n">
        <f aca="false">$J$3*EXP(-$E$1*B391*86.4/$G$1)</f>
        <v>334.135513249162</v>
      </c>
      <c r="K391" s="0" t="n">
        <f aca="false">J390-J391</f>
        <v>0.945361209092027</v>
      </c>
    </row>
    <row r="392" customFormat="false" ht="12.8" hidden="false" customHeight="false" outlineLevel="0" collapsed="false">
      <c r="A392" s="0" t="n">
        <v>1</v>
      </c>
      <c r="B392" s="0" t="n">
        <f aca="false">B391+A392</f>
        <v>389</v>
      </c>
      <c r="C392" s="0" t="n">
        <f aca="false">$C$3+($G$1/($E$1*86.4))*SINH($E$1*B392*86.4/$G$1)</f>
        <v>45076.1783932056</v>
      </c>
      <c r="D392" s="0" t="n">
        <f aca="false">C392-$C$3-B392</f>
        <v>83.1783932056133</v>
      </c>
      <c r="E392" s="0" t="n">
        <f aca="false">$E$1*B392*86.4</f>
        <v>329710.176</v>
      </c>
      <c r="F392" s="0" t="n">
        <f aca="false">$G$1*G392</f>
        <v>240045.520826741</v>
      </c>
      <c r="G392" s="0" t="n">
        <f aca="false">TANH($E$1*B392*86.4/$G$1)</f>
        <v>0.800151736089138</v>
      </c>
      <c r="H392" s="0" t="n">
        <f aca="false">COSH($E$1*B392*86.4/$G$1)</f>
        <v>1.66722898993666</v>
      </c>
      <c r="I392" s="0" t="n">
        <f aca="false">(($G$1^2*1000)/($E$1*$I$1))*(H392-1)</f>
        <v>0.647024234753178</v>
      </c>
      <c r="J392" s="0" t="n">
        <f aca="false">$J$3*EXP(-$E$1*B392*86.4/$G$1)</f>
        <v>333.192819180703</v>
      </c>
      <c r="K392" s="0" t="n">
        <f aca="false">J391-J392</f>
        <v>0.942694068458877</v>
      </c>
    </row>
    <row r="393" customFormat="false" ht="12.8" hidden="false" customHeight="false" outlineLevel="0" collapsed="false">
      <c r="A393" s="0" t="n">
        <v>1</v>
      </c>
      <c r="B393" s="0" t="n">
        <f aca="false">B392+A393</f>
        <v>390</v>
      </c>
      <c r="C393" s="0" t="n">
        <f aca="false">$C$3+($G$1/($E$1*86.4))*SINH($E$1*B393*86.4/$G$1)</f>
        <v>45077.8475089277</v>
      </c>
      <c r="D393" s="0" t="n">
        <f aca="false">C393-$C$3-B393</f>
        <v>83.8475089276908</v>
      </c>
      <c r="E393" s="0" t="n">
        <f aca="false">$E$1*B393*86.4</f>
        <v>330557.76</v>
      </c>
      <c r="F393" s="0" t="n">
        <f aca="false">$G$1*G393</f>
        <v>240349.756691577</v>
      </c>
      <c r="G393" s="0" t="n">
        <f aca="false">TANH($E$1*B393*86.4/$G$1)</f>
        <v>0.801165855638591</v>
      </c>
      <c r="H393" s="0" t="n">
        <f aca="false">COSH($E$1*B393*86.4/$G$1)</f>
        <v>1.67100467475132</v>
      </c>
      <c r="I393" s="0" t="n">
        <f aca="false">(($G$1^2*1000)/($E$1*$I$1))*(H393-1)</f>
        <v>0.650685585825623</v>
      </c>
      <c r="J393" s="0" t="n">
        <f aca="false">$J$3*EXP(-$E$1*B393*86.4/$G$1)</f>
        <v>332.252784728093</v>
      </c>
      <c r="K393" s="0" t="n">
        <f aca="false">J392-J393</f>
        <v>0.940034452610007</v>
      </c>
    </row>
    <row r="394" customFormat="false" ht="12.8" hidden="false" customHeight="false" outlineLevel="0" collapsed="false">
      <c r="A394" s="0" t="n">
        <v>1</v>
      </c>
      <c r="B394" s="0" t="n">
        <f aca="false">B393+A394</f>
        <v>391</v>
      </c>
      <c r="C394" s="0" t="n">
        <f aca="false">$C$3+($G$1/($E$1*86.4))*SINH($E$1*B394*86.4/$G$1)</f>
        <v>45079.5204070012</v>
      </c>
      <c r="D394" s="0" t="n">
        <f aca="false">C394-$C$3-B394</f>
        <v>84.5204070012187</v>
      </c>
      <c r="E394" s="0" t="n">
        <f aca="false">$E$1*B394*86.4</f>
        <v>331405.344</v>
      </c>
      <c r="F394" s="0" t="n">
        <f aca="false">$G$1*G394</f>
        <v>240652.618383901</v>
      </c>
      <c r="G394" s="0" t="n">
        <f aca="false">TANH($E$1*B394*86.4/$G$1)</f>
        <v>0.802175394613003</v>
      </c>
      <c r="H394" s="0" t="n">
        <f aca="false">COSH($E$1*B394*86.4/$G$1)</f>
        <v>1.67479369788019</v>
      </c>
      <c r="I394" s="0" t="n">
        <f aca="false">(($G$1^2*1000)/($E$1*$I$1))*(H394-1)</f>
        <v>0.654359871306912</v>
      </c>
      <c r="J394" s="0" t="n">
        <f aca="false">$J$3*EXP(-$E$1*B394*86.4/$G$1)</f>
        <v>331.315402387777</v>
      </c>
      <c r="K394" s="0" t="n">
        <f aca="false">J393-J394</f>
        <v>0.937382340315821</v>
      </c>
    </row>
    <row r="395" customFormat="false" ht="12.8" hidden="false" customHeight="false" outlineLevel="0" collapsed="false">
      <c r="A395" s="0" t="n">
        <v>1</v>
      </c>
      <c r="B395" s="0" t="n">
        <f aca="false">B394+A395</f>
        <v>392</v>
      </c>
      <c r="C395" s="0" t="n">
        <f aca="false">$C$3+($G$1/($E$1*86.4))*SINH($E$1*B395*86.4/$G$1)</f>
        <v>45081.1971007796</v>
      </c>
      <c r="D395" s="0" t="n">
        <f aca="false">C395-$C$3-B395</f>
        <v>85.1971007796383</v>
      </c>
      <c r="E395" s="0" t="n">
        <f aca="false">$E$1*B395*86.4</f>
        <v>332252.928</v>
      </c>
      <c r="F395" s="0" t="n">
        <f aca="false">$G$1*G395</f>
        <v>240954.110390716</v>
      </c>
      <c r="G395" s="0" t="n">
        <f aca="false">TANH($E$1*B395*86.4/$G$1)</f>
        <v>0.803180367969054</v>
      </c>
      <c r="H395" s="0" t="n">
        <f aca="false">COSH($E$1*B395*86.4/$G$1)</f>
        <v>1.67859608956806</v>
      </c>
      <c r="I395" s="0" t="n">
        <f aca="false">(($G$1^2*1000)/($E$1*$I$1))*(H395-1)</f>
        <v>0.658047120525971</v>
      </c>
      <c r="J395" s="0" t="n">
        <f aca="false">$J$3*EXP(-$E$1*B395*86.4/$G$1)</f>
        <v>330.380664677371</v>
      </c>
      <c r="K395" s="0" t="n">
        <f aca="false">J394-J395</f>
        <v>0.934737710406466</v>
      </c>
    </row>
    <row r="396" customFormat="false" ht="12.8" hidden="false" customHeight="false" outlineLevel="0" collapsed="false">
      <c r="A396" s="0" t="n">
        <v>1</v>
      </c>
      <c r="B396" s="0" t="n">
        <f aca="false">B395+A396</f>
        <v>393</v>
      </c>
      <c r="C396" s="0" t="n">
        <f aca="false">$C$3+($G$1/($E$1*86.4))*SINH($E$1*B396*86.4/$G$1)</f>
        <v>45082.8776036467</v>
      </c>
      <c r="D396" s="0" t="n">
        <f aca="false">C396-$C$3-B396</f>
        <v>85.8776036466588</v>
      </c>
      <c r="E396" s="0" t="n">
        <f aca="false">$E$1*B396*86.4</f>
        <v>333100.512</v>
      </c>
      <c r="F396" s="0" t="n">
        <f aca="false">$G$1*G396</f>
        <v>241254.237202068</v>
      </c>
      <c r="G396" s="0" t="n">
        <f aca="false">TANH($E$1*B396*86.4/$G$1)</f>
        <v>0.804180790673561</v>
      </c>
      <c r="H396" s="0" t="n">
        <f aca="false">COSH($E$1*B396*86.4/$G$1)</f>
        <v>1.68241188016643</v>
      </c>
      <c r="I396" s="0" t="n">
        <f aca="false">(($G$1^2*1000)/($E$1*$I$1))*(H396-1)</f>
        <v>0.661747362915207</v>
      </c>
      <c r="J396" s="0" t="n">
        <f aca="false">$J$3*EXP(-$E$1*B396*86.4/$G$1)</f>
        <v>329.448564135598</v>
      </c>
      <c r="K396" s="0" t="n">
        <f aca="false">J395-J396</f>
        <v>0.932100541772115</v>
      </c>
    </row>
    <row r="397" customFormat="false" ht="12.8" hidden="false" customHeight="false" outlineLevel="0" collapsed="false">
      <c r="A397" s="0" t="n">
        <v>1</v>
      </c>
      <c r="B397" s="0" t="n">
        <f aca="false">B396+A397</f>
        <v>394</v>
      </c>
      <c r="C397" s="0" t="n">
        <f aca="false">$C$3+($G$1/($E$1*86.4))*SINH($E$1*B397*86.4/$G$1)</f>
        <v>45084.5619290164</v>
      </c>
      <c r="D397" s="0" t="n">
        <f aca="false">C397-$C$3-B397</f>
        <v>86.561929016425</v>
      </c>
      <c r="E397" s="0" t="n">
        <f aca="false">$E$1*B397*86.4</f>
        <v>333948.096</v>
      </c>
      <c r="F397" s="0" t="n">
        <f aca="false">$G$1*G397</f>
        <v>241553.003310824</v>
      </c>
      <c r="G397" s="0" t="n">
        <f aca="false">TANH($E$1*B397*86.4/$G$1)</f>
        <v>0.805176677702746</v>
      </c>
      <c r="H397" s="0" t="n">
        <f aca="false">COSH($E$1*B397*86.4/$G$1)</f>
        <v>1.68624110013376</v>
      </c>
      <c r="I397" s="0" t="n">
        <f aca="false">(($G$1^2*1000)/($E$1*$I$1))*(H397-1)</f>
        <v>0.665460628010741</v>
      </c>
      <c r="J397" s="0" t="n">
        <f aca="false">$J$3*EXP(-$E$1*B397*86.4/$G$1)</f>
        <v>328.519093322236</v>
      </c>
      <c r="K397" s="0" t="n">
        <f aca="false">J396-J397</f>
        <v>0.929470813362286</v>
      </c>
    </row>
    <row r="398" customFormat="false" ht="12.8" hidden="false" customHeight="false" outlineLevel="0" collapsed="false">
      <c r="A398" s="0" t="n">
        <v>1</v>
      </c>
      <c r="B398" s="0" t="n">
        <f aca="false">B397+A398</f>
        <v>395</v>
      </c>
      <c r="C398" s="0" t="n">
        <f aca="false">$C$3+($G$1/($E$1*86.4))*SINH($E$1*B398*86.4/$G$1)</f>
        <v>45086.2500903336</v>
      </c>
      <c r="D398" s="0" t="n">
        <f aca="false">C398-$C$3-B398</f>
        <v>87.2500903335676</v>
      </c>
      <c r="E398" s="0" t="n">
        <f aca="false">$E$1*B398*86.4</f>
        <v>334795.68</v>
      </c>
      <c r="F398" s="0" t="n">
        <f aca="false">$G$1*G398</f>
        <v>241850.41321245</v>
      </c>
      <c r="G398" s="0" t="n">
        <f aca="false">TANH($E$1*B398*86.4/$G$1)</f>
        <v>0.806168044041501</v>
      </c>
      <c r="H398" s="0" t="n">
        <f aca="false">COSH($E$1*B398*86.4/$G$1)</f>
        <v>1.69008378003568</v>
      </c>
      <c r="I398" s="0" t="n">
        <f aca="false">(($G$1^2*1000)/($E$1*$I$1))*(H398-1)</f>
        <v>0.669186945452642</v>
      </c>
      <c r="J398" s="0" t="n">
        <f aca="false">$J$3*EXP(-$E$1*B398*86.4/$G$1)</f>
        <v>327.59224481805</v>
      </c>
      <c r="K398" s="0" t="n">
        <f aca="false">J397-J398</f>
        <v>0.926848504185841</v>
      </c>
    </row>
    <row r="399" customFormat="false" ht="12.8" hidden="false" customHeight="false" outlineLevel="0" collapsed="false">
      <c r="A399" s="0" t="n">
        <v>1</v>
      </c>
      <c r="B399" s="0" t="n">
        <f aca="false">B398+A399</f>
        <v>396</v>
      </c>
      <c r="C399" s="0" t="n">
        <f aca="false">$C$3+($G$1/($E$1*86.4))*SINH($E$1*B399*86.4/$G$1)</f>
        <v>45087.9421010734</v>
      </c>
      <c r="D399" s="0" t="n">
        <f aca="false">C399-$C$3-B399</f>
        <v>87.942101073364</v>
      </c>
      <c r="E399" s="0" t="n">
        <f aca="false">$E$1*B399*86.4</f>
        <v>335643.264</v>
      </c>
      <c r="F399" s="0" t="n">
        <f aca="false">$G$1*G399</f>
        <v>242146.471404801</v>
      </c>
      <c r="G399" s="0" t="n">
        <f aca="false">TANH($E$1*B399*86.4/$G$1)</f>
        <v>0.80715490468267</v>
      </c>
      <c r="H399" s="0" t="n">
        <f aca="false">COSH($E$1*B399*86.4/$G$1)</f>
        <v>1.69393995054529</v>
      </c>
      <c r="I399" s="0" t="n">
        <f aca="false">(($G$1^2*1000)/($E$1*$I$1))*(H399-1)</f>
        <v>0.67292634498517</v>
      </c>
      <c r="J399" s="0" t="n">
        <f aca="false">$J$3*EXP(-$E$1*B399*86.4/$G$1)</f>
        <v>326.668011224739</v>
      </c>
      <c r="K399" s="0" t="n">
        <f aca="false">J398-J399</f>
        <v>0.924233593311044</v>
      </c>
    </row>
    <row r="400" customFormat="false" ht="12.8" hidden="false" customHeight="false" outlineLevel="0" collapsed="false">
      <c r="A400" s="0" t="n">
        <v>1</v>
      </c>
      <c r="B400" s="0" t="n">
        <f aca="false">B399+A400</f>
        <v>397</v>
      </c>
      <c r="C400" s="0" t="n">
        <f aca="false">$C$3+($G$1/($E$1*86.4))*SINH($E$1*B400*86.4/$G$1)</f>
        <v>45089.6379747418</v>
      </c>
      <c r="D400" s="0" t="n">
        <f aca="false">C400-$C$3-B400</f>
        <v>88.6379747417886</v>
      </c>
      <c r="E400" s="0" t="n">
        <f aca="false">$E$1*B400*86.4</f>
        <v>336490.848</v>
      </c>
      <c r="F400" s="0" t="n">
        <f aca="false">$G$1*G400</f>
        <v>242441.1823879</v>
      </c>
      <c r="G400" s="0" t="n">
        <f aca="false">TANH($E$1*B400*86.4/$G$1)</f>
        <v>0.808137274626333</v>
      </c>
      <c r="H400" s="0" t="n">
        <f aca="false">COSH($E$1*B400*86.4/$G$1)</f>
        <v>1.69780964244336</v>
      </c>
      <c r="I400" s="0" t="n">
        <f aca="false">(($G$1^2*1000)/($E$1*$I$1))*(H400-1)</f>
        <v>0.676678856457004</v>
      </c>
      <c r="J400" s="0" t="n">
        <f aca="false">$J$3*EXP(-$E$1*B400*86.4/$G$1)</f>
        <v>325.746385164874</v>
      </c>
      <c r="K400" s="0" t="n">
        <f aca="false">J399-J400</f>
        <v>0.921626059865105</v>
      </c>
    </row>
    <row r="401" customFormat="false" ht="12.8" hidden="false" customHeight="false" outlineLevel="0" collapsed="false">
      <c r="A401" s="0" t="n">
        <v>1</v>
      </c>
      <c r="B401" s="0" t="n">
        <f aca="false">B400+A401</f>
        <v>398</v>
      </c>
      <c r="C401" s="0" t="n">
        <f aca="false">$C$3+($G$1/($E$1*86.4))*SINH($E$1*B401*86.4/$G$1)</f>
        <v>45091.3377248757</v>
      </c>
      <c r="D401" s="0" t="n">
        <f aca="false">C401-$C$3-B401</f>
        <v>89.3377248756733</v>
      </c>
      <c r="E401" s="0" t="n">
        <f aca="false">$E$1*B401*86.4</f>
        <v>337338.432</v>
      </c>
      <c r="F401" s="0" t="n">
        <f aca="false">$G$1*G401</f>
        <v>242734.550663727</v>
      </c>
      <c r="G401" s="0" t="n">
        <f aca="false">TANH($E$1*B401*86.4/$G$1)</f>
        <v>0.809115168879091</v>
      </c>
      <c r="H401" s="0" t="n">
        <f aca="false">COSH($E$1*B401*86.4/$G$1)</f>
        <v>1.70169288661859</v>
      </c>
      <c r="I401" s="0" t="n">
        <f aca="false">(($G$1^2*1000)/($E$1*$I$1))*(H401-1)</f>
        <v>0.680444509821488</v>
      </c>
      <c r="J401" s="0" t="n">
        <f aca="false">$J$3*EXP(-$E$1*B401*86.4/$G$1)</f>
        <v>324.82735928184</v>
      </c>
      <c r="K401" s="0" t="n">
        <f aca="false">J400-J401</f>
        <v>0.919025883034067</v>
      </c>
    </row>
    <row r="402" customFormat="false" ht="12.8" hidden="false" customHeight="false" outlineLevel="0" collapsed="false">
      <c r="A402" s="0" t="n">
        <v>1</v>
      </c>
      <c r="B402" s="0" t="n">
        <f aca="false">B401+A402</f>
        <v>399</v>
      </c>
      <c r="C402" s="0" t="n">
        <f aca="false">$C$3+($G$1/($E$1*86.4))*SINH($E$1*B402*86.4/$G$1)</f>
        <v>45093.0413650428</v>
      </c>
      <c r="D402" s="0" t="n">
        <f aca="false">C402-$C$3-B402</f>
        <v>90.0413650427799</v>
      </c>
      <c r="E402" s="0" t="n">
        <f aca="false">$E$1*B402*86.4</f>
        <v>338186.016</v>
      </c>
      <c r="F402" s="0" t="n">
        <f aca="false">$G$1*G402</f>
        <v>243026.580736012</v>
      </c>
      <c r="G402" s="0" t="n">
        <f aca="false">TANH($E$1*B402*86.4/$G$1)</f>
        <v>0.810088602453373</v>
      </c>
      <c r="H402" s="0" t="n">
        <f aca="false">COSH($E$1*B402*86.4/$G$1)</f>
        <v>1.70558971406785</v>
      </c>
      <c r="I402" s="0" t="n">
        <f aca="false">(($G$1^2*1000)/($E$1*$I$1))*(H402-1)</f>
        <v>0.684223335136867</v>
      </c>
      <c r="J402" s="0" t="n">
        <f aca="false">$J$3*EXP(-$E$1*B402*86.4/$G$1)</f>
        <v>323.910926239777</v>
      </c>
      <c r="K402" s="0" t="n">
        <f aca="false">J401-J402</f>
        <v>0.916433042062749</v>
      </c>
    </row>
    <row r="403" customFormat="false" ht="12.8" hidden="false" customHeight="false" outlineLevel="0" collapsed="false">
      <c r="A403" s="0" t="n">
        <v>1</v>
      </c>
      <c r="B403" s="0" t="n">
        <f aca="false">B402+A403</f>
        <v>400</v>
      </c>
      <c r="C403" s="0" t="n">
        <f aca="false">$C$3+($G$1/($E$1*86.4))*SINH($E$1*B403*86.4/$G$1)</f>
        <v>45094.7489088419</v>
      </c>
      <c r="D403" s="0" t="n">
        <f aca="false">C403-$C$3-B403</f>
        <v>90.7489088419316</v>
      </c>
      <c r="E403" s="0" t="n">
        <f aca="false">$E$1*B403*86.4</f>
        <v>339033.6</v>
      </c>
      <c r="F403" s="0" t="n">
        <f aca="false">$G$1*G403</f>
        <v>243317.27711002</v>
      </c>
      <c r="G403" s="0" t="n">
        <f aca="false">TANH($E$1*B403*86.4/$G$1)</f>
        <v>0.811057590366734</v>
      </c>
      <c r="H403" s="0" t="n">
        <f aca="false">COSH($E$1*B403*86.4/$G$1)</f>
        <v>1.70950015589647</v>
      </c>
      <c r="I403" s="0" t="n">
        <f aca="false">(($G$1^2*1000)/($E$1*$I$1))*(H403-1)</f>
        <v>0.688015362566528</v>
      </c>
      <c r="J403" s="0" t="n">
        <f aca="false">$J$3*EXP(-$E$1*B403*86.4/$G$1)</f>
        <v>322.997078723523</v>
      </c>
      <c r="K403" s="0" t="n">
        <f aca="false">J402-J403</f>
        <v>0.913847516254748</v>
      </c>
    </row>
    <row r="404" customFormat="false" ht="12.8" hidden="false" customHeight="false" outlineLevel="0" collapsed="false">
      <c r="A404" s="0" t="n">
        <v>1</v>
      </c>
      <c r="B404" s="0" t="n">
        <f aca="false">B403+A404</f>
        <v>401</v>
      </c>
      <c r="C404" s="0" t="n">
        <f aca="false">$C$3+($G$1/($E$1*86.4))*SINH($E$1*B404*86.4/$G$1)</f>
        <v>45096.4603699031</v>
      </c>
      <c r="D404" s="0" t="n">
        <f aca="false">C404-$C$3-B404</f>
        <v>91.4603699031068</v>
      </c>
      <c r="E404" s="0" t="n">
        <f aca="false">$E$1*B404*86.4</f>
        <v>339881.184</v>
      </c>
      <c r="F404" s="0" t="n">
        <f aca="false">$G$1*G404</f>
        <v>243606.64429235</v>
      </c>
      <c r="G404" s="0" t="n">
        <f aca="false">TANH($E$1*B404*86.4/$G$1)</f>
        <v>0.812022147641167</v>
      </c>
      <c r="H404" s="0" t="n">
        <f aca="false">COSH($E$1*B404*86.4/$G$1)</f>
        <v>1.7134242433184</v>
      </c>
      <c r="I404" s="0" t="n">
        <f aca="false">(($G$1^2*1000)/($E$1*$I$1))*(H404-1)</f>
        <v>0.691820622379239</v>
      </c>
      <c r="J404" s="0" t="n">
        <f aca="false">$J$3*EXP(-$E$1*B404*86.4/$G$1)</f>
        <v>322.085809438551</v>
      </c>
      <c r="K404" s="0" t="n">
        <f aca="false">J403-J404</f>
        <v>0.911269284971695</v>
      </c>
    </row>
    <row r="405" customFormat="false" ht="12.8" hidden="false" customHeight="false" outlineLevel="0" collapsed="false">
      <c r="A405" s="0" t="n">
        <v>1</v>
      </c>
      <c r="B405" s="0" t="n">
        <f aca="false">B404+A405</f>
        <v>402</v>
      </c>
      <c r="C405" s="0" t="n">
        <f aca="false">$C$3+($G$1/($E$1*86.4))*SINH($E$1*B405*86.4/$G$1)</f>
        <v>45098.1757618875</v>
      </c>
      <c r="D405" s="0" t="n">
        <f aca="false">C405-$C$3-B405</f>
        <v>92.1757618875417</v>
      </c>
      <c r="E405" s="0" t="n">
        <f aca="false">$E$1*B405*86.4</f>
        <v>340728.768</v>
      </c>
      <c r="F405" s="0" t="n">
        <f aca="false">$G$1*G405</f>
        <v>243894.686790728</v>
      </c>
      <c r="G405" s="0" t="n">
        <f aca="false">TANH($E$1*B405*86.4/$G$1)</f>
        <v>0.812982289302427</v>
      </c>
      <c r="H405" s="0" t="n">
        <f aca="false">COSH($E$1*B405*86.4/$G$1)</f>
        <v>1.71736200765655</v>
      </c>
      <c r="I405" s="0" t="n">
        <f aca="false">(($G$1^2*1000)/($E$1*$I$1))*(H405-1)</f>
        <v>0.695639144949391</v>
      </c>
      <c r="J405" s="0" t="n">
        <f aca="false">$J$3*EXP(-$E$1*B405*86.4/$G$1)</f>
        <v>321.177111110917</v>
      </c>
      <c r="K405" s="0" t="n">
        <f aca="false">J404-J405</f>
        <v>0.908698327633545</v>
      </c>
    </row>
    <row r="406" customFormat="false" ht="12.8" hidden="false" customHeight="false" outlineLevel="0" collapsed="false">
      <c r="A406" s="0" t="n">
        <v>1</v>
      </c>
      <c r="B406" s="0" t="n">
        <f aca="false">B405+A406</f>
        <v>403</v>
      </c>
      <c r="C406" s="0" t="n">
        <f aca="false">$C$3+($G$1/($E$1*86.4))*SINH($E$1*B406*86.4/$G$1)</f>
        <v>45099.8950984879</v>
      </c>
      <c r="D406" s="0" t="n">
        <f aca="false">C406-$C$3-B406</f>
        <v>92.8950984878684</v>
      </c>
      <c r="E406" s="0" t="n">
        <f aca="false">$E$1*B406*86.4</f>
        <v>341576.352</v>
      </c>
      <c r="F406" s="0" t="n">
        <f aca="false">$G$1*G406</f>
        <v>244181.409113804</v>
      </c>
      <c r="G406" s="0" t="n">
        <f aca="false">TANH($E$1*B406*86.4/$G$1)</f>
        <v>0.813938030379348</v>
      </c>
      <c r="H406" s="0" t="n">
        <f aca="false">COSH($E$1*B406*86.4/$G$1)</f>
        <v>1.721313480343</v>
      </c>
      <c r="I406" s="0" t="n">
        <f aca="false">(($G$1^2*1000)/($E$1*$I$1))*(H406-1)</f>
        <v>0.699470960757244</v>
      </c>
      <c r="J406" s="0" t="n">
        <f aca="false">$J$3*EXP(-$E$1*B406*86.4/$G$1)</f>
        <v>320.270976487199</v>
      </c>
      <c r="K406" s="0" t="n">
        <f aca="false">J405-J406</f>
        <v>0.906134623718572</v>
      </c>
    </row>
    <row r="407" customFormat="false" ht="12.8" hidden="false" customHeight="false" outlineLevel="0" collapsed="false">
      <c r="A407" s="0" t="n">
        <v>1</v>
      </c>
      <c r="B407" s="0" t="n">
        <f aca="false">B406+A407</f>
        <v>404</v>
      </c>
      <c r="C407" s="0" t="n">
        <f aca="false">$C$3+($G$1/($E$1*86.4))*SINH($E$1*B407*86.4/$G$1)</f>
        <v>45101.6183934282</v>
      </c>
      <c r="D407" s="0" t="n">
        <f aca="false">C407-$C$3-B407</f>
        <v>93.6183934281944</v>
      </c>
      <c r="E407" s="0" t="n">
        <f aca="false">$E$1*B407*86.4</f>
        <v>342423.936</v>
      </c>
      <c r="F407" s="0" t="n">
        <f aca="false">$G$1*G407</f>
        <v>244466.815770954</v>
      </c>
      <c r="G407" s="0" t="n">
        <f aca="false">TANH($E$1*B407*86.4/$G$1)</f>
        <v>0.814889385903181</v>
      </c>
      <c r="H407" s="0" t="n">
        <f aca="false">COSH($E$1*B407*86.4/$G$1)</f>
        <v>1.72527869291924</v>
      </c>
      <c r="I407" s="0" t="n">
        <f aca="false">(($G$1^2*1000)/($E$1*$I$1))*(H407-1)</f>
        <v>0.703316100389163</v>
      </c>
      <c r="J407" s="0" t="n">
        <f aca="false">$J$3*EXP(-$E$1*B407*86.4/$G$1)</f>
        <v>319.367398334436</v>
      </c>
      <c r="K407" s="0" t="n">
        <f aca="false">J406-J407</f>
        <v>0.903578152762407</v>
      </c>
    </row>
    <row r="408" customFormat="false" ht="12.8" hidden="false" customHeight="false" outlineLevel="0" collapsed="false">
      <c r="A408" s="0" t="n">
        <v>1</v>
      </c>
      <c r="B408" s="0" t="n">
        <f aca="false">B407+A408</f>
        <v>405</v>
      </c>
      <c r="C408" s="0" t="n">
        <f aca="false">$C$3+($G$1/($E$1*86.4))*SINH($E$1*B408*86.4/$G$1)</f>
        <v>45103.3456604642</v>
      </c>
      <c r="D408" s="0" t="n">
        <f aca="false">C408-$C$3-B408</f>
        <v>94.3456604642197</v>
      </c>
      <c r="E408" s="0" t="n">
        <f aca="false">$E$1*B408*86.4</f>
        <v>343271.52</v>
      </c>
      <c r="F408" s="0" t="n">
        <f aca="false">$G$1*G408</f>
        <v>244750.911272079</v>
      </c>
      <c r="G408" s="0" t="n">
        <f aca="false">TANH($E$1*B408*86.4/$G$1)</f>
        <v>0.815836370906932</v>
      </c>
      <c r="H408" s="0" t="n">
        <f aca="false">COSH($E$1*B408*86.4/$G$1)</f>
        <v>1.72925767703643</v>
      </c>
      <c r="I408" s="0" t="n">
        <f aca="false">(($G$1^2*1000)/($E$1*$I$1))*(H408-1)</f>
        <v>0.707174594537872</v>
      </c>
      <c r="J408" s="0" t="n">
        <f aca="false">$J$3*EXP(-$E$1*B408*86.4/$G$1)</f>
        <v>318.466369440077</v>
      </c>
      <c r="K408" s="0" t="n">
        <f aca="false">J407-J408</f>
        <v>0.901028894359115</v>
      </c>
    </row>
    <row r="409" customFormat="false" ht="12.8" hidden="false" customHeight="false" outlineLevel="0" collapsed="false">
      <c r="A409" s="0" t="n">
        <v>1</v>
      </c>
      <c r="B409" s="0" t="n">
        <f aca="false">B408+A409</f>
        <v>406</v>
      </c>
      <c r="C409" s="0" t="n">
        <f aca="false">$C$3+($G$1/($E$1*86.4))*SINH($E$1*B409*86.4/$G$1)</f>
        <v>45105.0769133834</v>
      </c>
      <c r="D409" s="0" t="n">
        <f aca="false">C409-$C$3-B409</f>
        <v>95.0769133833601</v>
      </c>
      <c r="E409" s="0" t="n">
        <f aca="false">$E$1*B409*86.4</f>
        <v>344119.104</v>
      </c>
      <c r="F409" s="0" t="n">
        <f aca="false">$G$1*G409</f>
        <v>245033.700127411</v>
      </c>
      <c r="G409" s="0" t="n">
        <f aca="false">TANH($E$1*B409*86.4/$G$1)</f>
        <v>0.816779000424702</v>
      </c>
      <c r="H409" s="0" t="n">
        <f aca="false">COSH($E$1*B409*86.4/$G$1)</f>
        <v>1.73325046445567</v>
      </c>
      <c r="I409" s="0" t="n">
        <f aca="false">(($G$1^2*1000)/($E$1*$I$1))*(H409-1)</f>
        <v>0.711046474002689</v>
      </c>
      <c r="J409" s="0" t="n">
        <f aca="false">$J$3*EXP(-$E$1*B409*86.4/$G$1)</f>
        <v>317.567882611917</v>
      </c>
      <c r="K409" s="0" t="n">
        <f aca="false">J408-J409</f>
        <v>0.898486828159889</v>
      </c>
    </row>
    <row r="410" customFormat="false" ht="12.8" hidden="false" customHeight="false" outlineLevel="0" collapsed="false">
      <c r="A410" s="0" t="n">
        <v>1</v>
      </c>
      <c r="B410" s="0" t="n">
        <f aca="false">B409+A410</f>
        <v>407</v>
      </c>
      <c r="C410" s="0" t="n">
        <f aca="false">$C$3+($G$1/($E$1*86.4))*SINH($E$1*B410*86.4/$G$1)</f>
        <v>45106.8121660049</v>
      </c>
      <c r="D410" s="0" t="n">
        <f aca="false">C410-$C$3-B410</f>
        <v>95.8121660048564</v>
      </c>
      <c r="E410" s="0" t="n">
        <f aca="false">$E$1*B410*86.4</f>
        <v>344966.688</v>
      </c>
      <c r="F410" s="0" t="n">
        <f aca="false">$G$1*G410</f>
        <v>245315.186847313</v>
      </c>
      <c r="G410" s="0" t="n">
        <f aca="false">TANH($E$1*B410*86.4/$G$1)</f>
        <v>0.817717289491045</v>
      </c>
      <c r="H410" s="0" t="n">
        <f aca="false">COSH($E$1*B410*86.4/$G$1)</f>
        <v>1.73725708704824</v>
      </c>
      <c r="I410" s="0" t="n">
        <f aca="false">(($G$1^2*1000)/($E$1*$I$1))*(H410-1)</f>
        <v>0.71493176968978</v>
      </c>
      <c r="J410" s="0" t="n">
        <f aca="false">$J$3*EXP(-$E$1*B410*86.4/$G$1)</f>
        <v>316.671930678044</v>
      </c>
      <c r="K410" s="0" t="n">
        <f aca="false">J409-J410</f>
        <v>0.895951933873107</v>
      </c>
    </row>
    <row r="411" customFormat="false" ht="12.8" hidden="false" customHeight="false" outlineLevel="0" collapsed="false">
      <c r="A411" s="0" t="n">
        <v>1</v>
      </c>
      <c r="B411" s="0" t="n">
        <f aca="false">B410+A411</f>
        <v>408</v>
      </c>
      <c r="C411" s="0" t="n">
        <f aca="false">$C$3+($G$1/($E$1*86.4))*SINH($E$1*B411*86.4/$G$1)</f>
        <v>45108.5514321798</v>
      </c>
      <c r="D411" s="0" t="n">
        <f aca="false">C411-$C$3-B411</f>
        <v>96.5514321798401</v>
      </c>
      <c r="E411" s="0" t="n">
        <f aca="false">$E$1*B411*86.4</f>
        <v>345814.272</v>
      </c>
      <c r="F411" s="0" t="n">
        <f aca="false">$G$1*G411</f>
        <v>245595.375942097</v>
      </c>
      <c r="G411" s="0" t="n">
        <f aca="false">TANH($E$1*B411*86.4/$G$1)</f>
        <v>0.818651253140325</v>
      </c>
      <c r="H411" s="0" t="n">
        <f aca="false">COSH($E$1*B411*86.4/$G$1)</f>
        <v>1.74127757679585</v>
      </c>
      <c r="I411" s="0" t="n">
        <f aca="false">(($G$1^2*1000)/($E$1*$I$1))*(H411-1)</f>
        <v>0.718830512612397</v>
      </c>
      <c r="J411" s="0" t="n">
        <f aca="false">$J$3*EXP(-$E$1*B411*86.4/$G$1)</f>
        <v>315.778506486779</v>
      </c>
      <c r="K411" s="0" t="n">
        <f aca="false">J410-J411</f>
        <v>0.893424191265126</v>
      </c>
    </row>
    <row r="412" customFormat="false" ht="12.8" hidden="false" customHeight="false" outlineLevel="0" collapsed="false">
      <c r="A412" s="0" t="n">
        <v>1</v>
      </c>
      <c r="B412" s="0" t="n">
        <f aca="false">B411+A412</f>
        <v>409</v>
      </c>
      <c r="C412" s="0" t="n">
        <f aca="false">$C$3+($G$1/($E$1*86.4))*SINH($E$1*B412*86.4/$G$1)</f>
        <v>45110.2947257915</v>
      </c>
      <c r="D412" s="0" t="n">
        <f aca="false">C412-$C$3-B412</f>
        <v>97.2947257915293</v>
      </c>
      <c r="E412" s="0" t="n">
        <f aca="false">$E$1*B412*86.4</f>
        <v>346661.856</v>
      </c>
      <c r="F412" s="0" t="n">
        <f aca="false">$G$1*G412</f>
        <v>245874.271921824</v>
      </c>
      <c r="G412" s="0" t="n">
        <f aca="false">TANH($E$1*B412*86.4/$G$1)</f>
        <v>0.819580906406079</v>
      </c>
      <c r="H412" s="0" t="n">
        <f aca="false">COSH($E$1*B412*86.4/$G$1)</f>
        <v>1.7453119657909</v>
      </c>
      <c r="I412" s="0" t="n">
        <f aca="false">(($G$1^2*1000)/($E$1*$I$1))*(H412-1)</f>
        <v>0.722742733891138</v>
      </c>
      <c r="J412" s="0" t="n">
        <f aca="false">$J$3*EXP(-$E$1*B412*86.4/$G$1)</f>
        <v>314.88760290662</v>
      </c>
      <c r="K412" s="0" t="n">
        <f aca="false">J411-J412</f>
        <v>0.890903580158977</v>
      </c>
    </row>
    <row r="413" customFormat="false" ht="12.8" hidden="false" customHeight="false" outlineLevel="0" collapsed="false">
      <c r="A413" s="0" t="n">
        <v>1</v>
      </c>
      <c r="B413" s="0" t="n">
        <f aca="false">B412+A413</f>
        <v>410</v>
      </c>
      <c r="C413" s="0" t="n">
        <f aca="false">$C$3+($G$1/($E$1*86.4))*SINH($E$1*B413*86.4/$G$1)</f>
        <v>45112.0420607552</v>
      </c>
      <c r="D413" s="0" t="n">
        <f aca="false">C413-$C$3-B413</f>
        <v>98.0420607552442</v>
      </c>
      <c r="E413" s="0" t="n">
        <f aca="false">$E$1*B413*86.4</f>
        <v>347509.44</v>
      </c>
      <c r="F413" s="0" t="n">
        <f aca="false">$G$1*G413</f>
        <v>246151.879296117</v>
      </c>
      <c r="G413" s="0" t="n">
        <f aca="false">TANH($E$1*B413*86.4/$G$1)</f>
        <v>0.82050626432039</v>
      </c>
      <c r="H413" s="0" t="n">
        <f aca="false">COSH($E$1*B413*86.4/$G$1)</f>
        <v>1.74936028623675</v>
      </c>
      <c r="I413" s="0" t="n">
        <f aca="false">(($G$1^2*1000)/($E$1*$I$1))*(H413-1)</f>
        <v>0.726668464754182</v>
      </c>
      <c r="J413" s="0" t="n">
        <f aca="false">$J$3*EXP(-$E$1*B413*86.4/$G$1)</f>
        <v>313.999212826186</v>
      </c>
      <c r="K413" s="0" t="n">
        <f aca="false">J412-J413</f>
        <v>0.888390080434078</v>
      </c>
    </row>
    <row r="414" customFormat="false" ht="12.8" hidden="false" customHeight="false" outlineLevel="0" collapsed="false">
      <c r="A414" s="0" t="n">
        <v>1</v>
      </c>
      <c r="B414" s="0" t="n">
        <f aca="false">B413+A414</f>
        <v>411</v>
      </c>
      <c r="C414" s="0" t="n">
        <f aca="false">$C$3+($G$1/($E$1*86.4))*SINH($E$1*B414*86.4/$G$1)</f>
        <v>45113.7934510186</v>
      </c>
      <c r="D414" s="0" t="n">
        <f aca="false">C414-$C$3-B414</f>
        <v>98.7934510185878</v>
      </c>
      <c r="E414" s="0" t="n">
        <f aca="false">$E$1*B414*86.4</f>
        <v>348357.024</v>
      </c>
      <c r="F414" s="0" t="n">
        <f aca="false">$G$1*G414</f>
        <v>246428.202573981</v>
      </c>
      <c r="G414" s="0" t="n">
        <f aca="false">TANH($E$1*B414*86.4/$G$1)</f>
        <v>0.821427341913269</v>
      </c>
      <c r="H414" s="0" t="n">
        <f aca="false">COSH($E$1*B414*86.4/$G$1)</f>
        <v>1.75342257044795</v>
      </c>
      <c r="I414" s="0" t="n">
        <f aca="false">(($G$1^2*1000)/($E$1*$I$1))*(H414-1)</f>
        <v>0.730607736537547</v>
      </c>
      <c r="J414" s="0" t="n">
        <f aca="false">$J$3*EXP(-$E$1*B414*86.4/$G$1)</f>
        <v>313.113329154159</v>
      </c>
      <c r="K414" s="0" t="n">
        <f aca="false">J413-J414</f>
        <v>0.885883672027546</v>
      </c>
    </row>
    <row r="415" customFormat="false" ht="12.8" hidden="false" customHeight="false" outlineLevel="0" collapsed="false">
      <c r="A415" s="0" t="n">
        <v>1</v>
      </c>
      <c r="B415" s="0" t="n">
        <f aca="false">B414+A415</f>
        <v>412</v>
      </c>
      <c r="C415" s="0" t="n">
        <f aca="false">$C$3+($G$1/($E$1*86.4))*SINH($E$1*B415*86.4/$G$1)</f>
        <v>45115.5489105615</v>
      </c>
      <c r="D415" s="0" t="n">
        <f aca="false">C415-$C$3-B415</f>
        <v>99.5489105615343</v>
      </c>
      <c r="E415" s="0" t="n">
        <f aca="false">$E$1*B415*86.4</f>
        <v>349204.608</v>
      </c>
      <c r="F415" s="0" t="n">
        <f aca="false">$G$1*G415</f>
        <v>246703.24626361</v>
      </c>
      <c r="G415" s="0" t="n">
        <f aca="false">TANH($E$1*B415*86.4/$G$1)</f>
        <v>0.822344154212034</v>
      </c>
      <c r="H415" s="0" t="n">
        <f aca="false">COSH($E$1*B415*86.4/$G$1)</f>
        <v>1.75749885085051</v>
      </c>
      <c r="I415" s="0" t="n">
        <f aca="false">(($G$1^2*1000)/($E$1*$I$1))*(H415-1)</f>
        <v>0.734560580685336</v>
      </c>
      <c r="J415" s="0" t="n">
        <f aca="false">$J$3*EXP(-$E$1*B415*86.4/$G$1)</f>
        <v>312.229944819226</v>
      </c>
      <c r="K415" s="0" t="n">
        <f aca="false">J414-J415</f>
        <v>0.883384334932828</v>
      </c>
    </row>
    <row r="416" customFormat="false" ht="12.8" hidden="false" customHeight="false" outlineLevel="0" collapsed="false">
      <c r="A416" s="0" t="n">
        <v>1</v>
      </c>
      <c r="B416" s="0" t="n">
        <f aca="false">B415+A416</f>
        <v>413</v>
      </c>
      <c r="C416" s="0" t="n">
        <f aca="false">$C$3+($G$1/($E$1*86.4))*SINH($E$1*B416*86.4/$G$1)</f>
        <v>45117.3084533965</v>
      </c>
      <c r="D416" s="0" t="n">
        <f aca="false">C416-$C$3-B416</f>
        <v>100.30845339653</v>
      </c>
      <c r="E416" s="0" t="n">
        <f aca="false">$E$1*B416*86.4</f>
        <v>350052.192</v>
      </c>
      <c r="F416" s="0" t="n">
        <f aca="false">$G$1*G416</f>
        <v>246977.014872212</v>
      </c>
      <c r="G416" s="0" t="n">
        <f aca="false">TANH($E$1*B416*86.4/$G$1)</f>
        <v>0.823256716240706</v>
      </c>
      <c r="H416" s="0" t="n">
        <f aca="false">COSH($E$1*B416*86.4/$G$1)</f>
        <v>1.76158915998217</v>
      </c>
      <c r="I416" s="0" t="n">
        <f aca="false">(($G$1^2*1000)/($E$1*$I$1))*(H416-1)</f>
        <v>0.738527028749992</v>
      </c>
      <c r="J416" s="0" t="n">
        <f aca="false">$J$3*EXP(-$E$1*B416*86.4/$G$1)</f>
        <v>311.349052770026</v>
      </c>
      <c r="K416" s="0" t="n">
        <f aca="false">J415-J416</f>
        <v>0.880892049199304</v>
      </c>
    </row>
    <row r="417" customFormat="false" ht="12.8" hidden="false" customHeight="false" outlineLevel="0" collapsed="false">
      <c r="A417" s="0" t="n">
        <v>1</v>
      </c>
      <c r="B417" s="0" t="n">
        <f aca="false">B416+A417</f>
        <v>414</v>
      </c>
      <c r="C417" s="0" t="n">
        <f aca="false">$C$3+($G$1/($E$1*86.4))*SINH($E$1*B417*86.4/$G$1)</f>
        <v>45119.0720935686</v>
      </c>
      <c r="D417" s="0" t="n">
        <f aca="false">C417-$C$3-B417</f>
        <v>101.072093568619</v>
      </c>
      <c r="E417" s="0" t="n">
        <f aca="false">$E$1*B417*86.4</f>
        <v>350899.776</v>
      </c>
      <c r="F417" s="0" t="n">
        <f aca="false">$G$1*G417</f>
        <v>247249.512905821</v>
      </c>
      <c r="G417" s="0" t="n">
        <f aca="false">TANH($E$1*B417*86.4/$G$1)</f>
        <v>0.824165043019403</v>
      </c>
      <c r="H417" s="0" t="n">
        <f aca="false">COSH($E$1*B417*86.4/$G$1)</f>
        <v>1.76569353049265</v>
      </c>
      <c r="I417" s="0" t="n">
        <f aca="false">(($G$1^2*1000)/($E$1*$I$1))*(H417-1)</f>
        <v>0.742507112392546</v>
      </c>
      <c r="J417" s="0" t="n">
        <f aca="false">$J$3*EXP(-$E$1*B417*86.4/$G$1)</f>
        <v>310.470645975093</v>
      </c>
      <c r="K417" s="0" t="n">
        <f aca="false">J416-J417</f>
        <v>0.878406794933255</v>
      </c>
    </row>
    <row r="418" customFormat="false" ht="12.8" hidden="false" customHeight="false" outlineLevel="0" collapsed="false">
      <c r="A418" s="0" t="n">
        <v>1</v>
      </c>
      <c r="B418" s="0" t="n">
        <f aca="false">B417+A418</f>
        <v>415</v>
      </c>
      <c r="C418" s="0" t="n">
        <f aca="false">$C$3+($G$1/($E$1*86.4))*SINH($E$1*B418*86.4/$G$1)</f>
        <v>45120.8398451556</v>
      </c>
      <c r="D418" s="0" t="n">
        <f aca="false">C418-$C$3-B418</f>
        <v>101.839845155562</v>
      </c>
      <c r="E418" s="0" t="n">
        <f aca="false">$E$1*B418*86.4</f>
        <v>351747.36</v>
      </c>
      <c r="F418" s="0" t="n">
        <f aca="false">$G$1*G418</f>
        <v>247520.744869125</v>
      </c>
      <c r="G418" s="0" t="n">
        <f aca="false">TANH($E$1*B418*86.4/$G$1)</f>
        <v>0.825069149563751</v>
      </c>
      <c r="H418" s="0" t="n">
        <f aca="false">COSH($E$1*B418*86.4/$G$1)</f>
        <v>1.7698119951439</v>
      </c>
      <c r="I418" s="0" t="n">
        <f aca="false">(($G$1^2*1000)/($E$1*$I$1))*(H418-1)</f>
        <v>0.746500863382869</v>
      </c>
      <c r="J418" s="0" t="n">
        <f aca="false">$J$3*EXP(-$E$1*B418*86.4/$G$1)</f>
        <v>309.594717422796</v>
      </c>
      <c r="K418" s="0" t="n">
        <f aca="false">J417-J418</f>
        <v>0.875928552296898</v>
      </c>
    </row>
    <row r="419" customFormat="false" ht="12.8" hidden="false" customHeight="false" outlineLevel="0" collapsed="false">
      <c r="A419" s="0" t="n">
        <v>1</v>
      </c>
      <c r="B419" s="0" t="n">
        <f aca="false">B418+A419</f>
        <v>416</v>
      </c>
      <c r="C419" s="0" t="n">
        <f aca="false">$C$3+($G$1/($E$1*86.4))*SINH($E$1*B419*86.4/$G$1)</f>
        <v>45122.6117222679</v>
      </c>
      <c r="D419" s="0" t="n">
        <f aca="false">C419-$C$3-B419</f>
        <v>102.611722267917</v>
      </c>
      <c r="E419" s="0" t="n">
        <f aca="false">$E$1*B419*86.4</f>
        <v>352594.944</v>
      </c>
      <c r="F419" s="0" t="n">
        <f aca="false">$G$1*G419</f>
        <v>247790.715265287</v>
      </c>
      <c r="G419" s="0" t="n">
        <f aca="false">TANH($E$1*B419*86.4/$G$1)</f>
        <v>0.825969050884289</v>
      </c>
      <c r="H419" s="0" t="n">
        <f aca="false">COSH($E$1*B419*86.4/$G$1)</f>
        <v>1.77394458681038</v>
      </c>
      <c r="I419" s="0" t="n">
        <f aca="false">(($G$1^2*1000)/($E$1*$I$1))*(H419-1)</f>
        <v>0.750508313599932</v>
      </c>
      <c r="J419" s="0" t="n">
        <f aca="false">$J$3*EXP(-$E$1*B419*86.4/$G$1)</f>
        <v>308.721260121288</v>
      </c>
      <c r="K419" s="0" t="n">
        <f aca="false">J418-J419</f>
        <v>0.873457301508211</v>
      </c>
    </row>
    <row r="420" customFormat="false" ht="12.8" hidden="false" customHeight="false" outlineLevel="0" collapsed="false">
      <c r="A420" s="0" t="n">
        <v>1</v>
      </c>
      <c r="B420" s="0" t="n">
        <f aca="false">B419+A420</f>
        <v>417</v>
      </c>
      <c r="C420" s="0" t="n">
        <f aca="false">$C$3+($G$1/($E$1*86.4))*SINH($E$1*B420*86.4/$G$1)</f>
        <v>45124.3877390492</v>
      </c>
      <c r="D420" s="0" t="n">
        <f aca="false">C420-$C$3-B420</f>
        <v>103.387739049183</v>
      </c>
      <c r="E420" s="0" t="n">
        <f aca="false">$E$1*B420*86.4</f>
        <v>353442.528</v>
      </c>
      <c r="F420" s="0" t="n">
        <f aca="false">$G$1*G420</f>
        <v>248059.428595767</v>
      </c>
      <c r="G420" s="0" t="n">
        <f aca="false">TANH($E$1*B420*86.4/$G$1)</f>
        <v>0.826864761985888</v>
      </c>
      <c r="H420" s="0" t="n">
        <f aca="false">COSH($E$1*B420*86.4/$G$1)</f>
        <v>1.77809133847932</v>
      </c>
      <c r="I420" s="0" t="n">
        <f aca="false">(($G$1^2*1000)/($E$1*$I$1))*(H420-1)</f>
        <v>0.754529495032052</v>
      </c>
      <c r="J420" s="0" t="n">
        <f aca="false">$J$3*EXP(-$E$1*B420*86.4/$G$1)</f>
        <v>307.850267098447</v>
      </c>
      <c r="K420" s="0" t="n">
        <f aca="false">J419-J420</f>
        <v>0.870993022841219</v>
      </c>
    </row>
    <row r="421" customFormat="false" ht="12.8" hidden="false" customHeight="false" outlineLevel="0" collapsed="false">
      <c r="A421" s="0" t="n">
        <v>1</v>
      </c>
      <c r="B421" s="0" t="n">
        <f aca="false">B420+A421</f>
        <v>418</v>
      </c>
      <c r="C421" s="0" t="n">
        <f aca="false">$C$3+($G$1/($E$1*86.4))*SINH($E$1*B421*86.4/$G$1)</f>
        <v>45126.1679096759</v>
      </c>
      <c r="D421" s="0" t="n">
        <f aca="false">C421-$C$3-B421</f>
        <v>104.167909675904</v>
      </c>
      <c r="E421" s="0" t="n">
        <f aca="false">$E$1*B421*86.4</f>
        <v>354290.112</v>
      </c>
      <c r="F421" s="0" t="n">
        <f aca="false">$G$1*G421</f>
        <v>248326.889360153</v>
      </c>
      <c r="G421" s="0" t="n">
        <f aca="false">TANH($E$1*B421*86.4/$G$1)</f>
        <v>0.827756297867178</v>
      </c>
      <c r="H421" s="0" t="n">
        <f aca="false">COSH($E$1*B421*86.4/$G$1)</f>
        <v>1.78225228325096</v>
      </c>
      <c r="I421" s="0" t="n">
        <f aca="false">(($G$1^2*1000)/($E$1*$I$1))*(H421-1)</f>
        <v>0.758564439777154</v>
      </c>
      <c r="J421" s="0" t="n">
        <f aca="false">$J$3*EXP(-$E$1*B421*86.4/$G$1)</f>
        <v>306.981731401821</v>
      </c>
      <c r="K421" s="0" t="n">
        <f aca="false">J420-J421</f>
        <v>0.868535696625486</v>
      </c>
    </row>
    <row r="422" customFormat="false" ht="12.8" hidden="false" customHeight="false" outlineLevel="0" collapsed="false">
      <c r="A422" s="0" t="n">
        <v>1</v>
      </c>
      <c r="B422" s="0" t="n">
        <f aca="false">B421+A422</f>
        <v>419</v>
      </c>
      <c r="C422" s="0" t="n">
        <f aca="false">$C$3+($G$1/($E$1*86.4))*SINH($E$1*B422*86.4/$G$1)</f>
        <v>45127.9522483578</v>
      </c>
      <c r="D422" s="0" t="n">
        <f aca="false">C422-$C$3-B422</f>
        <v>104.952248357789</v>
      </c>
      <c r="E422" s="0" t="n">
        <f aca="false">$E$1*B422*86.4</f>
        <v>355137.696</v>
      </c>
      <c r="F422" s="0" t="n">
        <f aca="false">$G$1*G422</f>
        <v>248593.102055992</v>
      </c>
      <c r="G422" s="0" t="n">
        <f aca="false">TANH($E$1*B422*86.4/$G$1)</f>
        <v>0.828643673519972</v>
      </c>
      <c r="H422" s="0" t="n">
        <f aca="false">COSH($E$1*B422*86.4/$G$1)</f>
        <v>1.78642745433886</v>
      </c>
      <c r="I422" s="0" t="n">
        <f aca="false">(($G$1^2*1000)/($E$1*$I$1))*(H422-1)</f>
        <v>0.762613180043025</v>
      </c>
      <c r="J422" s="0" t="n">
        <f aca="false">$J$3*EXP(-$E$1*B422*86.4/$G$1)</f>
        <v>306.115646098575</v>
      </c>
      <c r="K422" s="0" t="n">
        <f aca="false">J421-J422</f>
        <v>0.86608530324628</v>
      </c>
    </row>
    <row r="423" customFormat="false" ht="12.8" hidden="false" customHeight="false" outlineLevel="0" collapsed="false">
      <c r="A423" s="0" t="n">
        <v>1</v>
      </c>
      <c r="B423" s="0" t="n">
        <f aca="false">B422+A423</f>
        <v>420</v>
      </c>
      <c r="C423" s="0" t="n">
        <f aca="false">$C$3+($G$1/($E$1*86.4))*SINH($E$1*B423*86.4/$G$1)</f>
        <v>45129.7407693378</v>
      </c>
      <c r="D423" s="0" t="n">
        <f aca="false">C423-$C$3-B423</f>
        <v>105.740769337797</v>
      </c>
      <c r="E423" s="0" t="n">
        <f aca="false">$E$1*B423*86.4</f>
        <v>355985.28</v>
      </c>
      <c r="F423" s="0" t="n">
        <f aca="false">$G$1*G423</f>
        <v>248858.071178613</v>
      </c>
      <c r="G423" s="0" t="n">
        <f aca="false">TANH($E$1*B423*86.4/$G$1)</f>
        <v>0.829526903928711</v>
      </c>
      <c r="H423" s="0" t="n">
        <f aca="false">COSH($E$1*B423*86.4/$G$1)</f>
        <v>1.79061688507012</v>
      </c>
      <c r="I423" s="0" t="n">
        <f aca="false">(($G$1^2*1000)/($E$1*$I$1))*(H423-1)</f>
        <v>0.766675748147567</v>
      </c>
      <c r="J423" s="0" t="n">
        <f aca="false">$J$3*EXP(-$E$1*B423*86.4/$G$1)</f>
        <v>305.252004275431</v>
      </c>
      <c r="K423" s="0" t="n">
        <f aca="false">J422-J423</f>
        <v>0.863641823143723</v>
      </c>
    </row>
    <row r="424" customFormat="false" ht="12.8" hidden="false" customHeight="false" outlineLevel="0" collapsed="false">
      <c r="A424" s="0" t="n">
        <v>1</v>
      </c>
      <c r="B424" s="0" t="n">
        <f aca="false">B423+A424</f>
        <v>421</v>
      </c>
      <c r="C424" s="0" t="n">
        <f aca="false">$C$3+($G$1/($E$1*86.4))*SINH($E$1*B424*86.4/$G$1)</f>
        <v>45131.5334868923</v>
      </c>
      <c r="D424" s="0" t="n">
        <f aca="false">C424-$C$3-B424</f>
        <v>106.533486892287</v>
      </c>
      <c r="E424" s="0" t="n">
        <f aca="false">$E$1*B424*86.4</f>
        <v>356832.864</v>
      </c>
      <c r="F424" s="0" t="n">
        <f aca="false">$G$1*G424</f>
        <v>249121.801220969</v>
      </c>
      <c r="G424" s="0" t="n">
        <f aca="false">TANH($E$1*B424*86.4/$G$1)</f>
        <v>0.830406004069898</v>
      </c>
      <c r="H424" s="0" t="n">
        <f aca="false">COSH($E$1*B424*86.4/$G$1)</f>
        <v>1.79482060888566</v>
      </c>
      <c r="I424" s="0" t="n">
        <f aca="false">(($G$1^2*1000)/($E$1*$I$1))*(H424-1)</f>
        <v>0.770752176519063</v>
      </c>
      <c r="J424" s="0" t="n">
        <f aca="false">$J$3*EXP(-$E$1*B424*86.4/$G$1)</f>
        <v>304.390799038618</v>
      </c>
      <c r="K424" s="0" t="n">
        <f aca="false">J423-J424</f>
        <v>0.861205236813703</v>
      </c>
    </row>
    <row r="425" customFormat="false" ht="12.8" hidden="false" customHeight="false" outlineLevel="0" collapsed="false">
      <c r="A425" s="0" t="n">
        <v>1</v>
      </c>
      <c r="B425" s="0" t="n">
        <f aca="false">B424+A425</f>
        <v>422</v>
      </c>
      <c r="C425" s="0" t="n">
        <f aca="false">$C$3+($G$1/($E$1*86.4))*SINH($E$1*B425*86.4/$G$1)</f>
        <v>45133.3304153311</v>
      </c>
      <c r="D425" s="0" t="n">
        <f aca="false">C425-$C$3-B425</f>
        <v>107.330415331111</v>
      </c>
      <c r="E425" s="0" t="n">
        <f aca="false">$E$1*B425*86.4</f>
        <v>357680.448</v>
      </c>
      <c r="F425" s="0" t="n">
        <f aca="false">$G$1*G425</f>
        <v>249384.296673466</v>
      </c>
      <c r="G425" s="0" t="n">
        <f aca="false">TANH($E$1*B425*86.4/$G$1)</f>
        <v>0.831280988911555</v>
      </c>
      <c r="H425" s="0" t="n">
        <f aca="false">COSH($E$1*B425*86.4/$G$1)</f>
        <v>1.7990386593405</v>
      </c>
      <c r="I425" s="0" t="n">
        <f aca="false">(($G$1^2*1000)/($E$1*$I$1))*(H425-1)</f>
        <v>0.774842497696431</v>
      </c>
      <c r="J425" s="0" t="n">
        <f aca="false">$J$3*EXP(-$E$1*B425*86.4/$G$1)</f>
        <v>303.532023513811</v>
      </c>
      <c r="K425" s="0" t="n">
        <f aca="false">J424-J425</f>
        <v>0.858775524806958</v>
      </c>
    </row>
    <row r="426" customFormat="false" ht="12.8" hidden="false" customHeight="false" outlineLevel="0" collapsed="false">
      <c r="A426" s="0" t="n">
        <v>1</v>
      </c>
      <c r="B426" s="0" t="n">
        <f aca="false">B425+A426</f>
        <v>423</v>
      </c>
      <c r="C426" s="0" t="n">
        <f aca="false">$C$3+($G$1/($E$1*86.4))*SINH($E$1*B426*86.4/$G$1)</f>
        <v>45135.1315689977</v>
      </c>
      <c r="D426" s="0" t="n">
        <f aca="false">C426-$C$3-B426</f>
        <v>108.131568997735</v>
      </c>
      <c r="E426" s="0" t="n">
        <f aca="false">$E$1*B426*86.4</f>
        <v>358528.032</v>
      </c>
      <c r="F426" s="0" t="n">
        <f aca="false">$G$1*G426</f>
        <v>249645.562023802</v>
      </c>
      <c r="G426" s="0" t="n">
        <f aca="false">TANH($E$1*B426*86.4/$G$1)</f>
        <v>0.832151873412673</v>
      </c>
      <c r="H426" s="0" t="n">
        <f aca="false">COSH($E$1*B426*86.4/$G$1)</f>
        <v>1.80327107010401</v>
      </c>
      <c r="I426" s="0" t="n">
        <f aca="false">(($G$1^2*1000)/($E$1*$I$1))*(H426-1)</f>
        <v>0.778946744329482</v>
      </c>
      <c r="J426" s="0" t="n">
        <f aca="false">$J$3*EXP(-$E$1*B426*86.4/$G$1)</f>
        <v>302.675670846082</v>
      </c>
      <c r="K426" s="0" t="n">
        <f aca="false">J425-J426</f>
        <v>0.856352667728515</v>
      </c>
    </row>
    <row r="427" customFormat="false" ht="12.8" hidden="false" customHeight="false" outlineLevel="0" collapsed="false">
      <c r="A427" s="0" t="n">
        <v>1</v>
      </c>
      <c r="B427" s="0" t="n">
        <f aca="false">B426+A427</f>
        <v>424</v>
      </c>
      <c r="C427" s="0" t="n">
        <f aca="false">$C$3+($G$1/($E$1*86.4))*SINH($E$1*B427*86.4/$G$1)</f>
        <v>45136.9369622694</v>
      </c>
      <c r="D427" s="0" t="n">
        <f aca="false">C427-$C$3-B427</f>
        <v>108.936962269348</v>
      </c>
      <c r="E427" s="0" t="n">
        <f aca="false">$E$1*B427*86.4</f>
        <v>359375.616</v>
      </c>
      <c r="F427" s="0" t="n">
        <f aca="false">$G$1*G427</f>
        <v>249905.601756803</v>
      </c>
      <c r="G427" s="0" t="n">
        <f aca="false">TANH($E$1*B427*86.4/$G$1)</f>
        <v>0.833018672522677</v>
      </c>
      <c r="H427" s="0" t="n">
        <f aca="false">COSH($E$1*B427*86.4/$G$1)</f>
        <v>1.80751787496019</v>
      </c>
      <c r="I427" s="0" t="n">
        <f aca="false">(($G$1^2*1000)/($E$1*$I$1))*(H427-1)</f>
        <v>0.783064949179185</v>
      </c>
      <c r="J427" s="0" t="n">
        <f aca="false">$J$3*EXP(-$E$1*B427*86.4/$G$1)</f>
        <v>301.821734199843</v>
      </c>
      <c r="K427" s="0" t="n">
        <f aca="false">J426-J427</f>
        <v>0.853936646239333</v>
      </c>
    </row>
    <row r="428" customFormat="false" ht="12.8" hidden="false" customHeight="false" outlineLevel="0" collapsed="false">
      <c r="A428" s="0" t="n">
        <v>1</v>
      </c>
      <c r="B428" s="0" t="n">
        <f aca="false">B427+A428</f>
        <v>425</v>
      </c>
      <c r="C428" s="0" t="n">
        <f aca="false">$C$3+($G$1/($E$1*86.4))*SINH($E$1*B428*86.4/$G$1)</f>
        <v>45138.746609557</v>
      </c>
      <c r="D428" s="0" t="n">
        <f aca="false">C428-$C$3-B428</f>
        <v>109.746609556983</v>
      </c>
      <c r="E428" s="0" t="n">
        <f aca="false">$E$1*B428*86.4</f>
        <v>360223.2</v>
      </c>
      <c r="F428" s="0" t="n">
        <f aca="false">$G$1*G428</f>
        <v>250164.420354268</v>
      </c>
      <c r="G428" s="0" t="n">
        <f aca="false">TANH($E$1*B428*86.4/$G$1)</f>
        <v>0.833881401180893</v>
      </c>
      <c r="H428" s="0" t="n">
        <f aca="false">COSH($E$1*B428*86.4/$G$1)</f>
        <v>1.81177910780795</v>
      </c>
      <c r="I428" s="0" t="n">
        <f aca="false">(($G$1^2*1000)/($E$1*$I$1))*(H428-1)</f>
        <v>0.787197145117925</v>
      </c>
      <c r="J428" s="0" t="n">
        <f aca="false">$J$3*EXP(-$E$1*B428*86.4/$G$1)</f>
        <v>300.970206758789</v>
      </c>
      <c r="K428" s="0" t="n">
        <f aca="false">J427-J428</f>
        <v>0.851527441053406</v>
      </c>
    </row>
    <row r="429" customFormat="false" ht="12.8" hidden="false" customHeight="false" outlineLevel="0" collapsed="false">
      <c r="A429" s="0" t="n">
        <v>1</v>
      </c>
      <c r="B429" s="0" t="n">
        <f aca="false">B428+A429</f>
        <v>426</v>
      </c>
      <c r="C429" s="0" t="n">
        <f aca="false">$C$3+($G$1/($E$1*86.4))*SINH($E$1*B429*86.4/$G$1)</f>
        <v>45140.5605253056</v>
      </c>
      <c r="D429" s="0" t="n">
        <f aca="false">C429-$C$3-B429</f>
        <v>110.560525305635</v>
      </c>
      <c r="E429" s="0" t="n">
        <f aca="false">$E$1*B429*86.4</f>
        <v>361070.784</v>
      </c>
      <c r="F429" s="0" t="n">
        <f aca="false">$G$1*G429</f>
        <v>250422.022294806</v>
      </c>
      <c r="G429" s="0" t="n">
        <f aca="false">TANH($E$1*B429*86.4/$G$1)</f>
        <v>0.834740074316021</v>
      </c>
      <c r="H429" s="0" t="n">
        <f aca="false">COSH($E$1*B429*86.4/$G$1)</f>
        <v>1.81605480266135</v>
      </c>
      <c r="I429" s="0" t="n">
        <f aca="false">(($G$1^2*1000)/($E$1*$I$1))*(H429-1)</f>
        <v>0.791343365129769</v>
      </c>
      <c r="J429" s="0" t="n">
        <f aca="false">$J$3*EXP(-$E$1*B429*86.4/$G$1)</f>
        <v>300.121081725849</v>
      </c>
      <c r="K429" s="0" t="n">
        <f aca="false">J428-J429</f>
        <v>0.849125032940719</v>
      </c>
    </row>
    <row r="430" customFormat="false" ht="12.8" hidden="false" customHeight="false" outlineLevel="0" collapsed="false">
      <c r="A430" s="0" t="n">
        <v>1</v>
      </c>
      <c r="B430" s="0" t="n">
        <f aca="false">B429+A430</f>
        <v>427</v>
      </c>
      <c r="C430" s="0" t="n">
        <f aca="false">$C$3+($G$1/($E$1*86.4))*SINH($E$1*B430*86.4/$G$1)</f>
        <v>45142.3787239944</v>
      </c>
      <c r="D430" s="0" t="n">
        <f aca="false">C430-$C$3-B430</f>
        <v>111.378723994356</v>
      </c>
      <c r="E430" s="0" t="n">
        <f aca="false">$E$1*B430*86.4</f>
        <v>361918.368</v>
      </c>
      <c r="F430" s="0" t="n">
        <f aca="false">$G$1*G430</f>
        <v>250678.412053685</v>
      </c>
      <c r="G430" s="0" t="n">
        <f aca="false">TANH($E$1*B430*86.4/$G$1)</f>
        <v>0.835594706845617</v>
      </c>
      <c r="H430" s="0" t="n">
        <f aca="false">COSH($E$1*B430*86.4/$G$1)</f>
        <v>1.82034499364989</v>
      </c>
      <c r="I430" s="0" t="n">
        <f aca="false">(($G$1^2*1000)/($E$1*$I$1))*(H430-1)</f>
        <v>0.795503642310724</v>
      </c>
      <c r="J430" s="0" t="n">
        <f aca="false">$J$3*EXP(-$E$1*B430*86.4/$G$1)</f>
        <v>299.274352323124</v>
      </c>
      <c r="K430" s="0" t="n">
        <f aca="false">J429-J430</f>
        <v>0.846729402724236</v>
      </c>
    </row>
    <row r="431" customFormat="false" ht="12.8" hidden="false" customHeight="false" outlineLevel="0" collapsed="false">
      <c r="A431" s="0" t="n">
        <v>1</v>
      </c>
      <c r="B431" s="0" t="n">
        <f aca="false">B430+A431</f>
        <v>428</v>
      </c>
      <c r="C431" s="0" t="n">
        <f aca="false">$C$3+($G$1/($E$1*86.4))*SINH($E$1*B431*86.4/$G$1)</f>
        <v>45144.2012201364</v>
      </c>
      <c r="D431" s="0" t="n">
        <f aca="false">C431-$C$3-B431</f>
        <v>112.20122013639</v>
      </c>
      <c r="E431" s="0" t="n">
        <f aca="false">$E$1*B431*86.4</f>
        <v>362765.952</v>
      </c>
      <c r="F431" s="0" t="n">
        <f aca="false">$G$1*G431</f>
        <v>250933.594102674</v>
      </c>
      <c r="G431" s="0" t="n">
        <f aca="false">TANH($E$1*B431*86.4/$G$1)</f>
        <v>0.836445313675579</v>
      </c>
      <c r="H431" s="0" t="n">
        <f aca="false">COSH($E$1*B431*86.4/$G$1)</f>
        <v>1.82464971501879</v>
      </c>
      <c r="I431" s="0" t="n">
        <f aca="false">(($G$1^2*1000)/($E$1*$I$1))*(H431-1)</f>
        <v>0.799678009869008</v>
      </c>
      <c r="J431" s="0" t="n">
        <f aca="false">$J$3*EXP(-$E$1*B431*86.4/$G$1)</f>
        <v>298.430011791843</v>
      </c>
      <c r="K431" s="0" t="n">
        <f aca="false">J430-J431</f>
        <v>0.844340531281773</v>
      </c>
    </row>
    <row r="432" customFormat="false" ht="12.8" hidden="false" customHeight="false" outlineLevel="0" collapsed="false">
      <c r="A432" s="0" t="n">
        <v>1</v>
      </c>
      <c r="B432" s="0" t="n">
        <f aca="false">B431+A432</f>
        <v>429</v>
      </c>
      <c r="C432" s="0" t="n">
        <f aca="false">$C$3+($G$1/($E$1*86.4))*SINH($E$1*B432*86.4/$G$1)</f>
        <v>45146.0280282793</v>
      </c>
      <c r="D432" s="0" t="n">
        <f aca="false">C432-$C$3-B432</f>
        <v>113.028028279303</v>
      </c>
      <c r="E432" s="0" t="n">
        <f aca="false">$E$1*B432*86.4</f>
        <v>363613.536</v>
      </c>
      <c r="F432" s="0" t="n">
        <f aca="false">$G$1*G432</f>
        <v>251187.572909892</v>
      </c>
      <c r="G432" s="0" t="n">
        <f aca="false">TANH($E$1*B432*86.4/$G$1)</f>
        <v>0.837291909699639</v>
      </c>
      <c r="H432" s="0" t="n">
        <f aca="false">COSH($E$1*B432*86.4/$G$1)</f>
        <v>1.82896900112925</v>
      </c>
      <c r="I432" s="0" t="n">
        <f aca="false">(($G$1^2*1000)/($E$1*$I$1))*(H432-1)</f>
        <v>0.803866501125307</v>
      </c>
      <c r="J432" s="0" t="n">
        <f aca="false">$J$3*EXP(-$E$1*B432*86.4/$G$1)</f>
        <v>297.588053392298</v>
      </c>
      <c r="K432" s="0" t="n">
        <f aca="false">J431-J432</f>
        <v>0.841958399544524</v>
      </c>
    </row>
    <row r="433" customFormat="false" ht="12.8" hidden="false" customHeight="false" outlineLevel="0" collapsed="false">
      <c r="A433" s="0" t="n">
        <v>1</v>
      </c>
      <c r="B433" s="0" t="n">
        <f aca="false">B432+A433</f>
        <v>430</v>
      </c>
      <c r="C433" s="0" t="n">
        <f aca="false">$C$3+($G$1/($E$1*86.4))*SINH($E$1*B433*86.4/$G$1)</f>
        <v>45147.8591630051</v>
      </c>
      <c r="D433" s="0" t="n">
        <f aca="false">C433-$C$3-B433</f>
        <v>113.859163005058</v>
      </c>
      <c r="E433" s="0" t="n">
        <f aca="false">$E$1*B433*86.4</f>
        <v>364461.12</v>
      </c>
      <c r="F433" s="0" t="n">
        <f aca="false">$G$1*G433</f>
        <v>251440.352939659</v>
      </c>
      <c r="G433" s="0" t="n">
        <f aca="false">TANH($E$1*B433*86.4/$G$1)</f>
        <v>0.838134509798864</v>
      </c>
      <c r="H433" s="0" t="n">
        <f aca="false">COSH($E$1*B433*86.4/$G$1)</f>
        <v>1.83330288645872</v>
      </c>
      <c r="I433" s="0" t="n">
        <f aca="false">(($G$1^2*1000)/($E$1*$I$1))*(H433-1)</f>
        <v>0.80806914951305</v>
      </c>
      <c r="J433" s="0" t="n">
        <f aca="false">$J$3*EXP(-$E$1*B433*86.4/$G$1)</f>
        <v>296.7484704038</v>
      </c>
      <c r="K433" s="0" t="n">
        <f aca="false">J432-J433</f>
        <v>0.839582988498307</v>
      </c>
    </row>
    <row r="434" customFormat="false" ht="12.8" hidden="false" customHeight="false" outlineLevel="0" collapsed="false">
      <c r="A434" s="0" t="n">
        <v>1</v>
      </c>
      <c r="B434" s="0" t="n">
        <f aca="false">B433+A434</f>
        <v>431</v>
      </c>
      <c r="C434" s="0" t="n">
        <f aca="false">$C$3+($G$1/($E$1*86.4))*SINH($E$1*B434*86.4/$G$1)</f>
        <v>45149.6946389302</v>
      </c>
      <c r="D434" s="0" t="n">
        <f aca="false">C434-$C$3-B434</f>
        <v>114.694638930159</v>
      </c>
      <c r="E434" s="0" t="n">
        <f aca="false">$E$1*B434*86.4</f>
        <v>365308.704</v>
      </c>
      <c r="F434" s="0" t="n">
        <f aca="false">$G$1*G434</f>
        <v>251691.938652346</v>
      </c>
      <c r="G434" s="0" t="n">
        <f aca="false">TANH($E$1*B434*86.4/$G$1)</f>
        <v>0.838973128841154</v>
      </c>
      <c r="H434" s="0" t="n">
        <f aca="false">COSH($E$1*B434*86.4/$G$1)</f>
        <v>1.83765140560121</v>
      </c>
      <c r="I434" s="0" t="n">
        <f aca="false">(($G$1^2*1000)/($E$1*$I$1))*(H434-1)</f>
        <v>0.812285988578668</v>
      </c>
      <c r="J434" s="0" t="n">
        <f aca="false">$J$3*EXP(-$E$1*B434*86.4/$G$1)</f>
        <v>295.911256124618</v>
      </c>
      <c r="K434" s="0" t="n">
        <f aca="false">J433-J434</f>
        <v>0.837214279181751</v>
      </c>
    </row>
    <row r="435" customFormat="false" ht="12.8" hidden="false" customHeight="false" outlineLevel="0" collapsed="false">
      <c r="A435" s="0" t="n">
        <v>1</v>
      </c>
      <c r="B435" s="0" t="n">
        <f aca="false">B434+A435</f>
        <v>432</v>
      </c>
      <c r="C435" s="0" t="n">
        <f aca="false">$C$3+($G$1/($E$1*86.4))*SINH($E$1*B435*86.4/$G$1)</f>
        <v>45151.5344707058</v>
      </c>
      <c r="D435" s="0" t="n">
        <f aca="false">C435-$C$3-B435</f>
        <v>115.534470705767</v>
      </c>
      <c r="E435" s="0" t="n">
        <f aca="false">$E$1*B435*86.4</f>
        <v>366156.288</v>
      </c>
      <c r="F435" s="0" t="n">
        <f aca="false">$G$1*G435</f>
        <v>251942.334504229</v>
      </c>
      <c r="G435" s="0" t="n">
        <f aca="false">TANH($E$1*B435*86.4/$G$1)</f>
        <v>0.839807781680763</v>
      </c>
      <c r="H435" s="0" t="n">
        <f aca="false">COSH($E$1*B435*86.4/$G$1)</f>
        <v>1.84201459326751</v>
      </c>
      <c r="I435" s="0" t="n">
        <f aca="false">(($G$1^2*1000)/($E$1*$I$1))*(H435-1)</f>
        <v>0.816517051981866</v>
      </c>
      <c r="J435" s="0" t="n">
        <f aca="false">$J$3*EXP(-$E$1*B435*86.4/$G$1)</f>
        <v>295.076403871931</v>
      </c>
      <c r="K435" s="0" t="n">
        <f aca="false">J434-J435</f>
        <v>0.834852252687313</v>
      </c>
    </row>
    <row r="436" customFormat="false" ht="12.8" hidden="false" customHeight="false" outlineLevel="0" collapsed="false">
      <c r="A436" s="0" t="n">
        <v>1</v>
      </c>
      <c r="B436" s="0" t="n">
        <f aca="false">B435+A436</f>
        <v>433</v>
      </c>
      <c r="C436" s="0" t="n">
        <f aca="false">$C$3+($G$1/($E$1*86.4))*SINH($E$1*B436*86.4/$G$1)</f>
        <v>45153.3786730178</v>
      </c>
      <c r="D436" s="0" t="n">
        <f aca="false">C436-$C$3-B436</f>
        <v>116.378673017811</v>
      </c>
      <c r="E436" s="0" t="n">
        <f aca="false">$E$1*B436*86.4</f>
        <v>367003.872</v>
      </c>
      <c r="F436" s="0" t="n">
        <f aca="false">$G$1*G436</f>
        <v>252191.544947341</v>
      </c>
      <c r="G436" s="0" t="n">
        <f aca="false">TANH($E$1*B436*86.4/$G$1)</f>
        <v>0.840638483157805</v>
      </c>
      <c r="H436" s="0" t="n">
        <f aca="false">COSH($E$1*B436*86.4/$G$1)</f>
        <v>1.84639248428552</v>
      </c>
      <c r="I436" s="0" t="n">
        <f aca="false">(($G$1^2*1000)/($E$1*$I$1))*(H436-1)</f>
        <v>0.820762373495891</v>
      </c>
      <c r="J436" s="0" t="n">
        <f aca="false">$J$3*EXP(-$E$1*B436*86.4/$G$1)</f>
        <v>294.24390698177</v>
      </c>
      <c r="K436" s="0" t="n">
        <f aca="false">J435-J436</f>
        <v>0.832496890160883</v>
      </c>
    </row>
    <row r="437" customFormat="false" ht="12.8" hidden="false" customHeight="false" outlineLevel="0" collapsed="false">
      <c r="A437" s="0" t="n">
        <v>1</v>
      </c>
      <c r="B437" s="0" t="n">
        <f aca="false">B436+A437</f>
        <v>434</v>
      </c>
      <c r="C437" s="0" t="n">
        <f aca="false">$C$3+($G$1/($E$1*86.4))*SINH($E$1*B437*86.4/$G$1)</f>
        <v>45155.2272605871</v>
      </c>
      <c r="D437" s="0" t="n">
        <f aca="false">C437-$C$3-B437</f>
        <v>117.227260587097</v>
      </c>
      <c r="E437" s="0" t="n">
        <f aca="false">$E$1*B437*86.4</f>
        <v>367851.456</v>
      </c>
      <c r="F437" s="0" t="n">
        <f aca="false">$G$1*G437</f>
        <v>252439.574429335</v>
      </c>
      <c r="G437" s="0" t="n">
        <f aca="false">TANH($E$1*B437*86.4/$G$1)</f>
        <v>0.841465248097784</v>
      </c>
      <c r="H437" s="0" t="n">
        <f aca="false">COSH($E$1*B437*86.4/$G$1)</f>
        <v>1.85078511360049</v>
      </c>
      <c r="I437" s="0" t="n">
        <f aca="false">(($G$1^2*1000)/($E$1*$I$1))*(H437-1)</f>
        <v>0.825021987007801</v>
      </c>
      <c r="J437" s="0" t="n">
        <f aca="false">$J$3*EXP(-$E$1*B437*86.4/$G$1)</f>
        <v>293.413758808968</v>
      </c>
      <c r="K437" s="0" t="n">
        <f aca="false">J436-J437</f>
        <v>0.830148172801444</v>
      </c>
    </row>
    <row r="438" customFormat="false" ht="12.8" hidden="false" customHeight="false" outlineLevel="0" collapsed="false">
      <c r="A438" s="0" t="n">
        <v>1</v>
      </c>
      <c r="B438" s="0" t="n">
        <f aca="false">B437+A438</f>
        <v>435</v>
      </c>
      <c r="C438" s="0" t="n">
        <f aca="false">$C$3+($G$1/($E$1*86.4))*SINH($E$1*B438*86.4/$G$1)</f>
        <v>45157.0802481695</v>
      </c>
      <c r="D438" s="0" t="n">
        <f aca="false">C438-$C$3-B438</f>
        <v>118.080248169463</v>
      </c>
      <c r="E438" s="0" t="n">
        <f aca="false">$E$1*B438*86.4</f>
        <v>368699.04</v>
      </c>
      <c r="F438" s="0" t="n">
        <f aca="false">$G$1*G438</f>
        <v>252686.427393336</v>
      </c>
      <c r="G438" s="0" t="n">
        <f aca="false">TANH($E$1*B438*86.4/$G$1)</f>
        <v>0.84228809131112</v>
      </c>
      <c r="H438" s="0" t="n">
        <f aca="false">COSH($E$1*B438*86.4/$G$1)</f>
        <v>1.85519251627532</v>
      </c>
      <c r="I438" s="0" t="n">
        <f aca="false">(($G$1^2*1000)/($E$1*$I$1))*(H438-1)</f>
        <v>0.829295926518736</v>
      </c>
      <c r="J438" s="0" t="n">
        <f aca="false">$J$3*EXP(-$E$1*B438*86.4/$G$1)</f>
        <v>292.585952727107</v>
      </c>
      <c r="K438" s="0" t="n">
        <f aca="false">J437-J438</f>
        <v>0.82780608186107</v>
      </c>
    </row>
    <row r="439" customFormat="false" ht="12.8" hidden="false" customHeight="false" outlineLevel="0" collapsed="false">
      <c r="A439" s="0" t="n">
        <v>1</v>
      </c>
      <c r="B439" s="0" t="n">
        <f aca="false">B438+A439</f>
        <v>436</v>
      </c>
      <c r="C439" s="0" t="n">
        <f aca="false">$C$3+($G$1/($E$1*86.4))*SINH($E$1*B439*86.4/$G$1)</f>
        <v>45158.9376505558</v>
      </c>
      <c r="D439" s="0" t="n">
        <f aca="false">C439-$C$3-B439</f>
        <v>118.937650555832</v>
      </c>
      <c r="E439" s="0" t="n">
        <f aca="false">$E$1*B439*86.4</f>
        <v>369546.624</v>
      </c>
      <c r="F439" s="0" t="n">
        <f aca="false">$G$1*G439</f>
        <v>252932.108277804</v>
      </c>
      <c r="G439" s="0" t="n">
        <f aca="false">TANH($E$1*B439*86.4/$G$1)</f>
        <v>0.843107027592682</v>
      </c>
      <c r="H439" s="0" t="n">
        <f aca="false">COSH($E$1*B439*86.4/$G$1)</f>
        <v>1.85961472749084</v>
      </c>
      <c r="I439" s="0" t="n">
        <f aca="false">(($G$1^2*1000)/($E$1*$I$1))*(H439-1)</f>
        <v>0.833584226144187</v>
      </c>
      <c r="J439" s="0" t="n">
        <f aca="false">$J$3*EXP(-$E$1*B439*86.4/$G$1)</f>
        <v>291.760482128463</v>
      </c>
      <c r="K439" s="0" t="n">
        <f aca="false">J438-J439</f>
        <v>0.825470598644643</v>
      </c>
    </row>
    <row r="440" customFormat="false" ht="12.8" hidden="false" customHeight="false" outlineLevel="0" collapsed="false">
      <c r="A440" s="0" t="n">
        <v>1</v>
      </c>
      <c r="B440" s="0" t="n">
        <f aca="false">B439+A440</f>
        <v>437</v>
      </c>
      <c r="C440" s="0" t="n">
        <f aca="false">$C$3+($G$1/($E$1*86.4))*SINH($E$1*B440*86.4/$G$1)</f>
        <v>45160.7994825724</v>
      </c>
      <c r="D440" s="0" t="n">
        <f aca="false">C440-$C$3-B440</f>
        <v>119.799482572387</v>
      </c>
      <c r="E440" s="0" t="n">
        <f aca="false">$E$1*B440*86.4</f>
        <v>370394.208</v>
      </c>
      <c r="F440" s="0" t="n">
        <f aca="false">$G$1*G440</f>
        <v>253176.621516399</v>
      </c>
      <c r="G440" s="0" t="n">
        <f aca="false">TANH($E$1*B440*86.4/$G$1)</f>
        <v>0.84392207172133</v>
      </c>
      <c r="H440" s="0" t="n">
        <f aca="false">COSH($E$1*B440*86.4/$G$1)</f>
        <v>1.86405178254607</v>
      </c>
      <c r="I440" s="0" t="n">
        <f aca="false">(($G$1^2*1000)/($E$1*$I$1))*(H440-1)</f>
        <v>0.837886920114276</v>
      </c>
      <c r="J440" s="0" t="n">
        <f aca="false">$J$3*EXP(-$E$1*B440*86.4/$G$1)</f>
        <v>290.937340423953</v>
      </c>
      <c r="K440" s="0" t="n">
        <f aca="false">J439-J440</f>
        <v>0.823141704509908</v>
      </c>
    </row>
    <row r="441" customFormat="false" ht="12.8" hidden="false" customHeight="false" outlineLevel="0" collapsed="false">
      <c r="A441" s="0" t="n">
        <v>1</v>
      </c>
      <c r="B441" s="0" t="n">
        <f aca="false">B440+A441</f>
        <v>438</v>
      </c>
      <c r="C441" s="0" t="n">
        <f aca="false">$C$3+($G$1/($E$1*86.4))*SINH($E$1*B441*86.4/$G$1)</f>
        <v>45162.6657590807</v>
      </c>
      <c r="D441" s="0" t="n">
        <f aca="false">C441-$C$3-B441</f>
        <v>120.665759080672</v>
      </c>
      <c r="E441" s="0" t="n">
        <f aca="false">$E$1*B441*86.4</f>
        <v>371241.792</v>
      </c>
      <c r="F441" s="0" t="n">
        <f aca="false">$G$1*G441</f>
        <v>253419.971537838</v>
      </c>
      <c r="G441" s="0" t="n">
        <f aca="false">TANH($E$1*B441*86.4/$G$1)</f>
        <v>0.84473323845946</v>
      </c>
      <c r="H441" s="0" t="n">
        <f aca="false">COSH($E$1*B441*86.4/$G$1)</f>
        <v>1.86850371685853</v>
      </c>
      <c r="I441" s="0" t="n">
        <f aca="false">(($G$1^2*1000)/($E$1*$I$1))*(H441-1)</f>
        <v>0.842204042774017</v>
      </c>
      <c r="J441" s="0" t="n">
        <f aca="false">$J$3*EXP(-$E$1*B441*86.4/$G$1)</f>
        <v>290.116521043086</v>
      </c>
      <c r="K441" s="0" t="n">
        <f aca="false">J440-J441</f>
        <v>0.820819380867079</v>
      </c>
    </row>
    <row r="442" customFormat="false" ht="12.8" hidden="false" customHeight="false" outlineLevel="0" collapsed="false">
      <c r="A442" s="0" t="n">
        <v>1</v>
      </c>
      <c r="B442" s="0" t="n">
        <f aca="false">B441+A442</f>
        <v>439</v>
      </c>
      <c r="C442" s="0" t="n">
        <f aca="false">$C$3+($G$1/($E$1*86.4))*SINH($E$1*B442*86.4/$G$1)</f>
        <v>45164.5364949777</v>
      </c>
      <c r="D442" s="0" t="n">
        <f aca="false">C442-$C$3-B442</f>
        <v>121.536494977699</v>
      </c>
      <c r="E442" s="0" t="n">
        <f aca="false">$E$1*B442*86.4</f>
        <v>372089.376</v>
      </c>
      <c r="F442" s="0" t="n">
        <f aca="false">$G$1*G442</f>
        <v>253662.162765767</v>
      </c>
      <c r="G442" s="0" t="n">
        <f aca="false">TANH($E$1*B442*86.4/$G$1)</f>
        <v>0.845540542552558</v>
      </c>
      <c r="H442" s="0" t="n">
        <f aca="false">COSH($E$1*B442*86.4/$G$1)</f>
        <v>1.87297056596451</v>
      </c>
      <c r="I442" s="0" t="n">
        <f aca="false">(($G$1^2*1000)/($E$1*$I$1))*(H442-1)</f>
        <v>0.846535628583601</v>
      </c>
      <c r="J442" s="0" t="n">
        <f aca="false">$J$3*EXP(-$E$1*B442*86.4/$G$1)</f>
        <v>289.298017433907</v>
      </c>
      <c r="K442" s="0" t="n">
        <f aca="false">J441-J442</f>
        <v>0.818503609178777</v>
      </c>
    </row>
    <row r="443" customFormat="false" ht="12.8" hidden="false" customHeight="false" outlineLevel="0" collapsed="false">
      <c r="A443" s="0" t="n">
        <v>1</v>
      </c>
      <c r="B443" s="0" t="n">
        <f aca="false">B442+A443</f>
        <v>440</v>
      </c>
      <c r="C443" s="0" t="n">
        <f aca="false">$C$3+($G$1/($E$1*86.4))*SINH($E$1*B443*86.4/$G$1)</f>
        <v>45166.4117051961</v>
      </c>
      <c r="D443" s="0" t="n">
        <f aca="false">C443-$C$3-B443</f>
        <v>122.411705196086</v>
      </c>
      <c r="E443" s="0" t="n">
        <f aca="false">$E$1*B443*86.4</f>
        <v>372936.96</v>
      </c>
      <c r="F443" s="0" t="n">
        <f aca="false">$G$1*G443</f>
        <v>253903.199618626</v>
      </c>
      <c r="G443" s="0" t="n">
        <f aca="false">TANH($E$1*B443*86.4/$G$1)</f>
        <v>0.846343998728752</v>
      </c>
      <c r="H443" s="0" t="n">
        <f aca="false">COSH($E$1*B443*86.4/$G$1)</f>
        <v>1.87745236551934</v>
      </c>
      <c r="I443" s="0" t="n">
        <f aca="false">(($G$1^2*1000)/($E$1*$I$1))*(H443-1)</f>
        <v>0.850881712118666</v>
      </c>
      <c r="J443" s="0" t="n">
        <f aca="false">$J$3*EXP(-$E$1*B443*86.4/$G$1)</f>
        <v>288.481823062947</v>
      </c>
      <c r="K443" s="0" t="n">
        <f aca="false">J442-J443</f>
        <v>0.816194370960204</v>
      </c>
    </row>
    <row r="444" customFormat="false" ht="12.8" hidden="false" customHeight="false" outlineLevel="0" collapsed="false">
      <c r="A444" s="0" t="n">
        <v>1</v>
      </c>
      <c r="B444" s="0" t="n">
        <f aca="false">B443+A444</f>
        <v>441</v>
      </c>
      <c r="C444" s="0" t="n">
        <f aca="false">$C$3+($G$1/($E$1*86.4))*SINH($E$1*B444*86.4/$G$1)</f>
        <v>45168.2914047042</v>
      </c>
      <c r="D444" s="0" t="n">
        <f aca="false">C444-$C$3-B444</f>
        <v>123.291404704149</v>
      </c>
      <c r="E444" s="0" t="n">
        <f aca="false">$E$1*B444*86.4</f>
        <v>373784.544</v>
      </c>
      <c r="F444" s="0" t="n">
        <f aca="false">$G$1*G444</f>
        <v>254143.086509515</v>
      </c>
      <c r="G444" s="0" t="n">
        <f aca="false">TANH($E$1*B444*86.4/$G$1)</f>
        <v>0.847143621698383</v>
      </c>
      <c r="H444" s="0" t="n">
        <f aca="false">COSH($E$1*B444*86.4/$G$1)</f>
        <v>1.8819491512977</v>
      </c>
      <c r="I444" s="0" t="n">
        <f aca="false">(($G$1^2*1000)/($E$1*$I$1))*(H444-1)</f>
        <v>0.855242328070574</v>
      </c>
      <c r="J444" s="0" t="n">
        <f aca="false">$J$3*EXP(-$E$1*B444*86.4/$G$1)</f>
        <v>287.667931415168</v>
      </c>
      <c r="K444" s="0" t="n">
        <f aca="false">J443-J444</f>
        <v>0.813891647778405</v>
      </c>
    </row>
    <row r="445" customFormat="false" ht="12.8" hidden="false" customHeight="false" outlineLevel="0" collapsed="false">
      <c r="A445" s="0" t="n">
        <v>1</v>
      </c>
      <c r="B445" s="0" t="n">
        <f aca="false">B444+A445</f>
        <v>442</v>
      </c>
      <c r="C445" s="0" t="n">
        <f aca="false">$C$3+($G$1/($E$1*86.4))*SINH($E$1*B445*86.4/$G$1)</f>
        <v>45170.1756085061</v>
      </c>
      <c r="D445" s="0" t="n">
        <f aca="false">C445-$C$3-B445</f>
        <v>124.175608506048</v>
      </c>
      <c r="E445" s="0" t="n">
        <f aca="false">$E$1*B445*86.4</f>
        <v>374632.128</v>
      </c>
      <c r="F445" s="0" t="n">
        <f aca="false">$G$1*G445</f>
        <v>254381.82784607</v>
      </c>
      <c r="G445" s="0" t="n">
        <f aca="false">TANH($E$1*B445*86.4/$G$1)</f>
        <v>0.847939426153567</v>
      </c>
      <c r="H445" s="0" t="n">
        <f aca="false">COSH($E$1*B445*86.4/$G$1)</f>
        <v>1.88646095919389</v>
      </c>
      <c r="I445" s="0" t="n">
        <f aca="false">(($G$1^2*1000)/($E$1*$I$1))*(H445-1)</f>
        <v>0.859617511246687</v>
      </c>
      <c r="J445" s="0" t="n">
        <f aca="false">$J$3*EXP(-$E$1*B445*86.4/$G$1)</f>
        <v>286.856335993916</v>
      </c>
      <c r="K445" s="0" t="n">
        <f aca="false">J444-J445</f>
        <v>0.811595421252548</v>
      </c>
    </row>
    <row r="446" customFormat="false" ht="12.8" hidden="false" customHeight="false" outlineLevel="0" collapsed="false">
      <c r="A446" s="0" t="n">
        <v>1</v>
      </c>
      <c r="B446" s="0" t="n">
        <f aca="false">B445+A446</f>
        <v>443</v>
      </c>
      <c r="C446" s="0" t="n">
        <f aca="false">$C$3+($G$1/($E$1*86.4))*SINH($E$1*B446*86.4/$G$1)</f>
        <v>45172.0643316419</v>
      </c>
      <c r="D446" s="0" t="n">
        <f aca="false">C446-$C$3-B446</f>
        <v>125.064331641908</v>
      </c>
      <c r="E446" s="0" t="n">
        <f aca="false">$E$1*B446*86.4</f>
        <v>375479.712</v>
      </c>
      <c r="F446" s="0" t="n">
        <f aca="false">$G$1*G446</f>
        <v>254619.428030332</v>
      </c>
      <c r="G446" s="0" t="n">
        <f aca="false">TANH($E$1*B446*86.4/$G$1)</f>
        <v>0.848731426767773</v>
      </c>
      <c r="H446" s="0" t="n">
        <f aca="false">COSH($E$1*B446*86.4/$G$1)</f>
        <v>1.89098782522212</v>
      </c>
      <c r="I446" s="0" t="n">
        <f aca="false">(($G$1^2*1000)/($E$1*$I$1))*(H446-1)</f>
        <v>0.864007296570647</v>
      </c>
      <c r="J446" s="0" t="n">
        <f aca="false">$J$3*EXP(-$E$1*B446*86.4/$G$1)</f>
        <v>286.047030320862</v>
      </c>
      <c r="K446" s="0" t="n">
        <f aca="false">J445-J446</f>
        <v>0.809305673053814</v>
      </c>
    </row>
    <row r="447" customFormat="false" ht="12.8" hidden="false" customHeight="false" outlineLevel="0" collapsed="false">
      <c r="A447" s="0" t="n">
        <v>1</v>
      </c>
      <c r="B447" s="0" t="n">
        <f aca="false">B446+A447</f>
        <v>444</v>
      </c>
      <c r="C447" s="0" t="n">
        <f aca="false">$C$3+($G$1/($E$1*86.4))*SINH($E$1*B447*86.4/$G$1)</f>
        <v>45173.9575891879</v>
      </c>
      <c r="D447" s="0" t="n">
        <f aca="false">C447-$C$3-B447</f>
        <v>125.957589187914</v>
      </c>
      <c r="E447" s="0" t="n">
        <f aca="false">$E$1*B447*86.4</f>
        <v>376327.296</v>
      </c>
      <c r="F447" s="0" t="n">
        <f aca="false">$G$1*G447</f>
        <v>254855.891458621</v>
      </c>
      <c r="G447" s="0" t="n">
        <f aca="false">TANH($E$1*B447*86.4/$G$1)</f>
        <v>0.849519638195403</v>
      </c>
      <c r="H447" s="0" t="n">
        <f aca="false">COSH($E$1*B447*86.4/$G$1)</f>
        <v>1.89552978551679</v>
      </c>
      <c r="I447" s="0" t="n">
        <f aca="false">(($G$1^2*1000)/($E$1*$I$1))*(H447-1)</f>
        <v>0.868411719082653</v>
      </c>
      <c r="J447" s="0" t="n">
        <f aca="false">$J$3*EXP(-$E$1*B447*86.4/$G$1)</f>
        <v>285.240007935957</v>
      </c>
      <c r="K447" s="0" t="n">
        <f aca="false">J446-J447</f>
        <v>0.807022384904883</v>
      </c>
    </row>
    <row r="448" customFormat="false" ht="12.8" hidden="false" customHeight="false" outlineLevel="0" collapsed="false">
      <c r="A448" s="0" t="n">
        <v>1</v>
      </c>
      <c r="B448" s="0" t="n">
        <f aca="false">B447+A448</f>
        <v>445</v>
      </c>
      <c r="C448" s="0" t="n">
        <f aca="false">$C$3+($G$1/($E$1*86.4))*SINH($E$1*B448*86.4/$G$1)</f>
        <v>45175.8553962565</v>
      </c>
      <c r="D448" s="0" t="n">
        <f aca="false">C448-$C$3-B448</f>
        <v>126.855396256447</v>
      </c>
      <c r="E448" s="0" t="n">
        <f aca="false">$E$1*B448*86.4</f>
        <v>377174.88</v>
      </c>
      <c r="F448" s="0" t="n">
        <f aca="false">$G$1*G448</f>
        <v>255091.222521413</v>
      </c>
      <c r="G448" s="0" t="n">
        <f aca="false">TANH($E$1*B448*86.4/$G$1)</f>
        <v>0.850304075071377</v>
      </c>
      <c r="H448" s="0" t="n">
        <f aca="false">COSH($E$1*B448*86.4/$G$1)</f>
        <v>1.9000868763328</v>
      </c>
      <c r="I448" s="0" t="n">
        <f aca="false">(($G$1^2*1000)/($E$1*$I$1))*(H448-1)</f>
        <v>0.87283081393974</v>
      </c>
      <c r="J448" s="0" t="n">
        <f aca="false">$J$3*EXP(-$E$1*B448*86.4/$G$1)</f>
        <v>284.435262397377</v>
      </c>
      <c r="K448" s="0" t="n">
        <f aca="false">J447-J448</f>
        <v>0.804745538579937</v>
      </c>
    </row>
    <row r="449" customFormat="false" ht="12.8" hidden="false" customHeight="false" outlineLevel="0" collapsed="false">
      <c r="A449" s="0" t="n">
        <v>1</v>
      </c>
      <c r="B449" s="0" t="n">
        <f aca="false">B448+A449</f>
        <v>446</v>
      </c>
      <c r="C449" s="0" t="n">
        <f aca="false">$C$3+($G$1/($E$1*86.4))*SINH($E$1*B449*86.4/$G$1)</f>
        <v>45177.7577679962</v>
      </c>
      <c r="D449" s="0" t="n">
        <f aca="false">C449-$C$3-B449</f>
        <v>127.757767996212</v>
      </c>
      <c r="E449" s="0" t="n">
        <f aca="false">$E$1*B449*86.4</f>
        <v>378022.464</v>
      </c>
      <c r="F449" s="0" t="n">
        <f aca="false">$G$1*G449</f>
        <v>255325.425603217</v>
      </c>
      <c r="G449" s="0" t="n">
        <f aca="false">TANH($E$1*B449*86.4/$G$1)</f>
        <v>0.851084752010724</v>
      </c>
      <c r="H449" s="0" t="n">
        <f aca="false">COSH($E$1*B449*86.4/$G$1)</f>
        <v>1.90465913404581</v>
      </c>
      <c r="I449" s="0" t="n">
        <f aca="false">(($G$1^2*1000)/($E$1*$I$1))*(H449-1)</f>
        <v>0.877264616416063</v>
      </c>
      <c r="J449" s="0" t="n">
        <f aca="false">$J$3*EXP(-$E$1*B449*86.4/$G$1)</f>
        <v>283.632787281472</v>
      </c>
      <c r="K449" s="0" t="n">
        <f aca="false">J448-J449</f>
        <v>0.802475115904883</v>
      </c>
    </row>
    <row r="450" customFormat="false" ht="12.8" hidden="false" customHeight="false" outlineLevel="0" collapsed="false">
      <c r="A450" s="0" t="n">
        <v>1</v>
      </c>
      <c r="B450" s="0" t="n">
        <f aca="false">B449+A450</f>
        <v>447</v>
      </c>
      <c r="C450" s="0" t="n">
        <f aca="false">$C$3+($G$1/($E$1*86.4))*SINH($E$1*B450*86.4/$G$1)</f>
        <v>45179.6647195923</v>
      </c>
      <c r="D450" s="0" t="n">
        <f aca="false">C450-$C$3-B450</f>
        <v>128.664719592336</v>
      </c>
      <c r="E450" s="0" t="n">
        <f aca="false">$E$1*B450*86.4</f>
        <v>378870.048</v>
      </c>
      <c r="F450" s="0" t="n">
        <f aca="false">$G$1*G450</f>
        <v>255558.505082454</v>
      </c>
      <c r="G450" s="0" t="n">
        <f aca="false">TANH($E$1*B450*86.4/$G$1)</f>
        <v>0.851861683608179</v>
      </c>
      <c r="H450" s="0" t="n">
        <f aca="false">COSH($E$1*B450*86.4/$G$1)</f>
        <v>1.90924659515256</v>
      </c>
      <c r="I450" s="0" t="n">
        <f aca="false">(($G$1^2*1000)/($E$1*$I$1))*(H450-1)</f>
        <v>0.881713161903173</v>
      </c>
      <c r="J450" s="0" t="n">
        <f aca="false">$J$3*EXP(-$E$1*B450*86.4/$G$1)</f>
        <v>282.832576182716</v>
      </c>
      <c r="K450" s="0" t="n">
        <f aca="false">J449-J450</f>
        <v>0.80021109875662</v>
      </c>
    </row>
    <row r="451" customFormat="false" ht="12.8" hidden="false" customHeight="false" outlineLevel="0" collapsed="false">
      <c r="A451" s="0" t="n">
        <v>1</v>
      </c>
      <c r="B451" s="0" t="n">
        <f aca="false">B450+A451</f>
        <v>448</v>
      </c>
      <c r="C451" s="0" t="n">
        <f aca="false">$C$3+($G$1/($E$1*86.4))*SINH($E$1*B451*86.4/$G$1)</f>
        <v>45181.5762662665</v>
      </c>
      <c r="D451" s="0" t="n">
        <f aca="false">C451-$C$3-B451</f>
        <v>129.576266266522</v>
      </c>
      <c r="E451" s="0" t="n">
        <f aca="false">$E$1*B451*86.4</f>
        <v>379717.632</v>
      </c>
      <c r="F451" s="0" t="n">
        <f aca="false">$G$1*G451</f>
        <v>255790.465331336</v>
      </c>
      <c r="G451" s="0" t="n">
        <f aca="false">TANH($E$1*B451*86.4/$G$1)</f>
        <v>0.852634884437788</v>
      </c>
      <c r="H451" s="0" t="n">
        <f aca="false">COSH($E$1*B451*86.4/$G$1)</f>
        <v>1.91384929627113</v>
      </c>
      <c r="I451" s="0" t="n">
        <f aca="false">(($G$1^2*1000)/($E$1*$I$1))*(H451-1)</f>
        <v>0.886176485910307</v>
      </c>
      <c r="J451" s="0" t="n">
        <f aca="false">$J$3*EXP(-$E$1*B451*86.4/$G$1)</f>
        <v>282.034622713653</v>
      </c>
      <c r="K451" s="0" t="n">
        <f aca="false">J450-J451</f>
        <v>0.797953469063202</v>
      </c>
    </row>
    <row r="452" customFormat="false" ht="12.8" hidden="false" customHeight="false" outlineLevel="0" collapsed="false">
      <c r="A452" s="0" t="n">
        <v>1</v>
      </c>
      <c r="B452" s="0" t="n">
        <f aca="false">B451+A452</f>
        <v>449</v>
      </c>
      <c r="C452" s="0" t="n">
        <f aca="false">$C$3+($G$1/($E$1*86.4))*SINH($E$1*B452*86.4/$G$1)</f>
        <v>45183.4924232771</v>
      </c>
      <c r="D452" s="0" t="n">
        <f aca="false">C452-$C$3-B452</f>
        <v>130.49242327713</v>
      </c>
      <c r="E452" s="0" t="n">
        <f aca="false">$E$1*B452*86.4</f>
        <v>380565.216</v>
      </c>
      <c r="F452" s="0" t="n">
        <f aca="false">$G$1*G452</f>
        <v>256021.310715753</v>
      </c>
      <c r="G452" s="0" t="n">
        <f aca="false">TANH($E$1*B452*86.4/$G$1)</f>
        <v>0.85340436905251</v>
      </c>
      <c r="H452" s="0" t="n">
        <f aca="false">COSH($E$1*B452*86.4/$G$1)</f>
        <v>1.91846727414126</v>
      </c>
      <c r="I452" s="0" t="n">
        <f aca="false">(($G$1^2*1000)/($E$1*$I$1))*(H452-1)</f>
        <v>0.890654624064664</v>
      </c>
      <c r="J452" s="0" t="n">
        <f aca="false">$J$3*EXP(-$E$1*B452*86.4/$G$1)</f>
        <v>281.238920504849</v>
      </c>
      <c r="K452" s="0" t="n">
        <f aca="false">J451-J452</f>
        <v>0.795702208803959</v>
      </c>
    </row>
    <row r="453" customFormat="false" ht="12.8" hidden="false" customHeight="false" outlineLevel="0" collapsed="false">
      <c r="A453" s="0" t="n">
        <v>1</v>
      </c>
      <c r="B453" s="0" t="n">
        <f aca="false">B452+A453</f>
        <v>450</v>
      </c>
      <c r="C453" s="0" t="n">
        <f aca="false">$C$3+($G$1/($E$1*86.4))*SINH($E$1*B453*86.4/$G$1)</f>
        <v>45185.4132059193</v>
      </c>
      <c r="D453" s="0" t="n">
        <f aca="false">C453-$C$3-B453</f>
        <v>131.413205919336</v>
      </c>
      <c r="E453" s="0" t="n">
        <f aca="false">$E$1*B453*86.4</f>
        <v>381412.8</v>
      </c>
      <c r="F453" s="0" t="n">
        <f aca="false">$G$1*G453</f>
        <v>256251.045595151</v>
      </c>
      <c r="G453" s="0" t="n">
        <f aca="false">TANH($E$1*B453*86.4/$G$1)</f>
        <v>0.854170151983835</v>
      </c>
      <c r="H453" s="0" t="n">
        <f aca="false">COSH($E$1*B453*86.4/$G$1)</f>
        <v>1.92310056562463</v>
      </c>
      <c r="I453" s="0" t="n">
        <f aca="false">(($G$1^2*1000)/($E$1*$I$1))*(H453-1)</f>
        <v>0.895147612111694</v>
      </c>
      <c r="J453" s="0" t="n">
        <f aca="false">$J$3*EXP(-$E$1*B453*86.4/$G$1)</f>
        <v>280.44546320484</v>
      </c>
      <c r="K453" s="0" t="n">
        <f aca="false">J452-J453</f>
        <v>0.793457300008583</v>
      </c>
    </row>
    <row r="454" customFormat="false" ht="12.8" hidden="false" customHeight="false" outlineLevel="0" collapsed="false">
      <c r="A454" s="0" t="n">
        <v>1</v>
      </c>
      <c r="B454" s="0" t="n">
        <f aca="false">B453+A454</f>
        <v>451</v>
      </c>
      <c r="C454" s="0" t="n">
        <f aca="false">$C$3+($G$1/($E$1*86.4))*SINH($E$1*B454*86.4/$G$1)</f>
        <v>45187.3386295252</v>
      </c>
      <c r="D454" s="0" t="n">
        <f aca="false">C454-$C$3-B454</f>
        <v>132.338629525242</v>
      </c>
      <c r="E454" s="0" t="n">
        <f aca="false">$E$1*B454*86.4</f>
        <v>382260.384</v>
      </c>
      <c r="F454" s="0" t="n">
        <f aca="false">$G$1*G454</f>
        <v>256479.67432242</v>
      </c>
      <c r="G454" s="0" t="n">
        <f aca="false">TANH($E$1*B454*86.4/$G$1)</f>
        <v>0.854932247741401</v>
      </c>
      <c r="H454" s="0" t="n">
        <f aca="false">COSH($E$1*B454*86.4/$G$1)</f>
        <v>1.92774920770516</v>
      </c>
      <c r="I454" s="0" t="n">
        <f aca="false">(($G$1^2*1000)/($E$1*$I$1))*(H454-1)</f>
        <v>0.899655485915383</v>
      </c>
      <c r="J454" s="0" t="n">
        <f aca="false">$J$3*EXP(-$E$1*B454*86.4/$G$1)</f>
        <v>279.654244480082</v>
      </c>
      <c r="K454" s="0" t="n">
        <f aca="false">J453-J454</f>
        <v>0.79121872475821</v>
      </c>
    </row>
    <row r="455" customFormat="false" ht="12.8" hidden="false" customHeight="false" outlineLevel="0" collapsed="false">
      <c r="A455" s="0" t="n">
        <v>1</v>
      </c>
      <c r="B455" s="0" t="n">
        <f aca="false">B454+A455</f>
        <v>452</v>
      </c>
      <c r="C455" s="0" t="n">
        <f aca="false">$C$3+($G$1/($E$1*86.4))*SINH($E$1*B455*86.4/$G$1)</f>
        <v>45189.268709464</v>
      </c>
      <c r="D455" s="0" t="n">
        <f aca="false">C455-$C$3-B455</f>
        <v>133.268709463984</v>
      </c>
      <c r="E455" s="0" t="n">
        <f aca="false">$E$1*B455*86.4</f>
        <v>383107.968</v>
      </c>
      <c r="F455" s="0" t="n">
        <f aca="false">$G$1*G455</f>
        <v>256707.201243785</v>
      </c>
      <c r="G455" s="0" t="n">
        <f aca="false">TANH($E$1*B455*86.4/$G$1)</f>
        <v>0.855690670812618</v>
      </c>
      <c r="H455" s="0" t="n">
        <f aca="false">COSH($E$1*B455*86.4/$G$1)</f>
        <v>1.9324132374893</v>
      </c>
      <c r="I455" s="0" t="n">
        <f aca="false">(($G$1^2*1000)/($E$1*$I$1))*(H455-1)</f>
        <v>0.904178281458535</v>
      </c>
      <c r="J455" s="0" t="n">
        <f aca="false">$J$3*EXP(-$E$1*B455*86.4/$G$1)</f>
        <v>278.865258014898</v>
      </c>
      <c r="K455" s="0" t="n">
        <f aca="false">J454-J455</f>
        <v>0.788986465183371</v>
      </c>
    </row>
    <row r="456" customFormat="false" ht="12.8" hidden="false" customHeight="false" outlineLevel="0" collapsed="false">
      <c r="A456" s="0" t="n">
        <v>1</v>
      </c>
      <c r="B456" s="0" t="n">
        <f aca="false">B455+A456</f>
        <v>453</v>
      </c>
      <c r="C456" s="0" t="n">
        <f aca="false">$C$3+($G$1/($E$1*86.4))*SINH($E$1*B456*86.4/$G$1)</f>
        <v>45191.2034611419</v>
      </c>
      <c r="D456" s="0" t="n">
        <f aca="false">C456-$C$3-B456</f>
        <v>134.203461141864</v>
      </c>
      <c r="E456" s="0" t="n">
        <f aca="false">$E$1*B456*86.4</f>
        <v>383955.552</v>
      </c>
      <c r="F456" s="0" t="n">
        <f aca="false">$G$1*G456</f>
        <v>256933.630698688</v>
      </c>
      <c r="G456" s="0" t="n">
        <f aca="false">TANH($E$1*B456*86.4/$G$1)</f>
        <v>0.856445435662294</v>
      </c>
      <c r="H456" s="0" t="n">
        <f aca="false">COSH($E$1*B456*86.4/$G$1)</f>
        <v>1.93709269220632</v>
      </c>
      <c r="I456" s="0" t="n">
        <f aca="false">(($G$1^2*1000)/($E$1*$I$1))*(H456-1)</f>
        <v>0.908716034843067</v>
      </c>
      <c r="J456" s="0" t="n">
        <f aca="false">$J$3*EXP(-$E$1*B456*86.4/$G$1)</f>
        <v>278.078497511432</v>
      </c>
      <c r="K456" s="0" t="n">
        <f aca="false">J455-J456</f>
        <v>0.786760503466383</v>
      </c>
    </row>
    <row r="457" customFormat="false" ht="12.8" hidden="false" customHeight="false" outlineLevel="0" collapsed="false">
      <c r="A457" s="0" t="n">
        <v>1</v>
      </c>
      <c r="B457" s="0" t="n">
        <f aca="false">B456+A457</f>
        <v>454</v>
      </c>
      <c r="C457" s="0" t="n">
        <f aca="false">$C$3+($G$1/($E$1*86.4))*SINH($E$1*B457*86.4/$G$1)</f>
        <v>45193.1429000025</v>
      </c>
      <c r="D457" s="0" t="n">
        <f aca="false">C457-$C$3-B457</f>
        <v>135.142900002487</v>
      </c>
      <c r="E457" s="0" t="n">
        <f aca="false">$E$1*B457*86.4</f>
        <v>384803.136</v>
      </c>
      <c r="F457" s="0" t="n">
        <f aca="false">$G$1*G457</f>
        <v>257158.967019683</v>
      </c>
      <c r="G457" s="0" t="n">
        <f aca="false">TANH($E$1*B457*86.4/$G$1)</f>
        <v>0.857196556732276</v>
      </c>
      <c r="H457" s="0" t="n">
        <f aca="false">COSH($E$1*B457*86.4/$G$1)</f>
        <v>1.94178760920862</v>
      </c>
      <c r="I457" s="0" t="n">
        <f aca="false">(($G$1^2*1000)/($E$1*$I$1))*(H457-1)</f>
        <v>0.913268782290288</v>
      </c>
      <c r="J457" s="0" t="n">
        <f aca="false">$J$3*EXP(-$E$1*B457*86.4/$G$1)</f>
        <v>277.293956689593</v>
      </c>
      <c r="K457" s="0" t="n">
        <f aca="false">J456-J457</f>
        <v>0.784540821838618</v>
      </c>
    </row>
    <row r="458" customFormat="false" ht="12.8" hidden="false" customHeight="false" outlineLevel="0" collapsed="false">
      <c r="A458" s="0" t="n">
        <v>1</v>
      </c>
      <c r="B458" s="0" t="n">
        <f aca="false">B457+A458</f>
        <v>455</v>
      </c>
      <c r="C458" s="0" t="n">
        <f aca="false">$C$3+($G$1/($E$1*86.4))*SINH($E$1*B458*86.4/$G$1)</f>
        <v>45195.0870415269</v>
      </c>
      <c r="D458" s="0" t="n">
        <f aca="false">C458-$C$3-B458</f>
        <v>136.087041526866</v>
      </c>
      <c r="E458" s="0" t="n">
        <f aca="false">$E$1*B458*86.4</f>
        <v>385650.72</v>
      </c>
      <c r="F458" s="0" t="n">
        <f aca="false">$G$1*G458</f>
        <v>257383.214532325</v>
      </c>
      <c r="G458" s="0" t="n">
        <f aca="false">TANH($E$1*B458*86.4/$G$1)</f>
        <v>0.857944048441083</v>
      </c>
      <c r="H458" s="0" t="n">
        <f aca="false">COSH($E$1*B458*86.4/$G$1)</f>
        <v>1.94649802597204</v>
      </c>
      <c r="I458" s="0" t="n">
        <f aca="false">(($G$1^2*1000)/($E$1*$I$1))*(H458-1)</f>
        <v>0.917836560141197</v>
      </c>
      <c r="J458" s="0" t="n">
        <f aca="false">$J$3*EXP(-$E$1*B458*86.4/$G$1)</f>
        <v>276.511629287011</v>
      </c>
      <c r="K458" s="0" t="n">
        <f aca="false">J457-J458</f>
        <v>0.782327402582496</v>
      </c>
    </row>
    <row r="459" customFormat="false" ht="12.8" hidden="false" customHeight="false" outlineLevel="0" collapsed="false">
      <c r="A459" s="0" t="n">
        <v>1</v>
      </c>
      <c r="B459" s="0" t="n">
        <f aca="false">B458+A459</f>
        <v>456</v>
      </c>
      <c r="C459" s="0" t="n">
        <f aca="false">$C$3+($G$1/($E$1*86.4))*SINH($E$1*B459*86.4/$G$1)</f>
        <v>45197.0359012336</v>
      </c>
      <c r="D459" s="0" t="n">
        <f aca="false">C459-$C$3-B459</f>
        <v>137.035901233554</v>
      </c>
      <c r="E459" s="0" t="n">
        <f aca="false">$E$1*B459*86.4</f>
        <v>386498.304</v>
      </c>
      <c r="F459" s="0" t="n">
        <f aca="false">$G$1*G459</f>
        <v>257606.377555067</v>
      </c>
      <c r="G459" s="0" t="n">
        <f aca="false">TANH($E$1*B459*86.4/$G$1)</f>
        <v>0.858687925183556</v>
      </c>
      <c r="H459" s="0" t="n">
        <f aca="false">COSH($E$1*B459*86.4/$G$1)</f>
        <v>1.95122398009611</v>
      </c>
      <c r="I459" s="0" t="n">
        <f aca="false">(($G$1^2*1000)/($E$1*$I$1))*(H459-1)</f>
        <v>0.922419404856766</v>
      </c>
      <c r="J459" s="0" t="n">
        <f aca="false">$J$3*EXP(-$E$1*B459*86.4/$G$1)</f>
        <v>275.731509058981</v>
      </c>
      <c r="K459" s="0" t="n">
        <f aca="false">J458-J459</f>
        <v>0.780120228029773</v>
      </c>
    </row>
    <row r="460" customFormat="false" ht="12.8" hidden="false" customHeight="false" outlineLevel="0" collapsed="false">
      <c r="A460" s="0" t="n">
        <v>1</v>
      </c>
      <c r="B460" s="0" t="n">
        <f aca="false">B459+A460</f>
        <v>457</v>
      </c>
      <c r="C460" s="0" t="n">
        <f aca="false">$C$3+($G$1/($E$1*86.4))*SINH($E$1*B460*86.4/$G$1)</f>
        <v>45198.9894946788</v>
      </c>
      <c r="D460" s="0" t="n">
        <f aca="false">C460-$C$3-B460</f>
        <v>137.989494678754</v>
      </c>
      <c r="E460" s="0" t="n">
        <f aca="false">$E$1*B460*86.4</f>
        <v>387345.888</v>
      </c>
      <c r="F460" s="0" t="n">
        <f aca="false">$G$1*G460</f>
        <v>257828.460399151</v>
      </c>
      <c r="G460" s="0" t="n">
        <f aca="false">TANH($E$1*B460*86.4/$G$1)</f>
        <v>0.859428201330503</v>
      </c>
      <c r="H460" s="0" t="n">
        <f aca="false">COSH($E$1*B460*86.4/$G$1)</f>
        <v>1.95596550930441</v>
      </c>
      <c r="I460" s="0" t="n">
        <f aca="false">(($G$1^2*1000)/($E$1*$I$1))*(H460-1)</f>
        <v>0.927017353018234</v>
      </c>
      <c r="J460" s="0" t="n">
        <f aca="false">$J$3*EXP(-$E$1*B460*86.4/$G$1)</f>
        <v>274.953589778419</v>
      </c>
      <c r="K460" s="0" t="n">
        <f aca="false">J459-J460</f>
        <v>0.777919280562287</v>
      </c>
    </row>
    <row r="461" customFormat="false" ht="12.8" hidden="false" customHeight="false" outlineLevel="0" collapsed="false">
      <c r="A461" s="0" t="n">
        <v>1</v>
      </c>
      <c r="B461" s="0" t="n">
        <f aca="false">B460+A461</f>
        <v>458</v>
      </c>
      <c r="C461" s="0" t="n">
        <f aca="false">$C$3+($G$1/($E$1*86.4))*SINH($E$1*B461*86.4/$G$1)</f>
        <v>45200.9478374565</v>
      </c>
      <c r="D461" s="0" t="n">
        <f aca="false">C461-$C$3-B461</f>
        <v>138.947837456471</v>
      </c>
      <c r="E461" s="0" t="n">
        <f aca="false">$E$1*B461*86.4</f>
        <v>388193.472</v>
      </c>
      <c r="F461" s="0" t="n">
        <f aca="false">$G$1*G461</f>
        <v>258049.467368508</v>
      </c>
      <c r="G461" s="0" t="n">
        <f aca="false">TANH($E$1*B461*86.4/$G$1)</f>
        <v>0.860164891228359</v>
      </c>
      <c r="H461" s="0" t="n">
        <f aca="false">COSH($E$1*B461*86.4/$G$1)</f>
        <v>1.96072265144482</v>
      </c>
      <c r="I461" s="0" t="n">
        <f aca="false">(($G$1^2*1000)/($E$1*$I$1))*(H461-1)</f>
        <v>0.931630441327402</v>
      </c>
      <c r="J461" s="0" t="n">
        <f aca="false">$J$3*EXP(-$E$1*B461*86.4/$G$1)</f>
        <v>274.177865235807</v>
      </c>
      <c r="K461" s="0" t="n">
        <f aca="false">J460-J461</f>
        <v>0.775724542611897</v>
      </c>
    </row>
    <row r="462" customFormat="false" ht="12.8" hidden="false" customHeight="false" outlineLevel="0" collapsed="false">
      <c r="A462" s="0" t="n">
        <v>1</v>
      </c>
      <c r="B462" s="0" t="n">
        <f aca="false">B461+A462</f>
        <v>459</v>
      </c>
      <c r="C462" s="0" t="n">
        <f aca="false">$C$3+($G$1/($E$1*86.4))*SINH($E$1*B462*86.4/$G$1)</f>
        <v>45202.9109451986</v>
      </c>
      <c r="D462" s="0" t="n">
        <f aca="false">C462-$C$3-B462</f>
        <v>139.910945198608</v>
      </c>
      <c r="E462" s="0" t="n">
        <f aca="false">$E$1*B462*86.4</f>
        <v>389041.056</v>
      </c>
      <c r="F462" s="0" t="n">
        <f aca="false">$G$1*G462</f>
        <v>258269.402759653</v>
      </c>
      <c r="G462" s="0" t="n">
        <f aca="false">TANH($E$1*B462*86.4/$G$1)</f>
        <v>0.860898009198843</v>
      </c>
      <c r="H462" s="0" t="n">
        <f aca="false">COSH($E$1*B462*86.4/$G$1)</f>
        <v>1.96549544448987</v>
      </c>
      <c r="I462" s="0" t="n">
        <f aca="false">(($G$1^2*1000)/($E$1*$I$1))*(H462-1)</f>
        <v>0.936258706606919</v>
      </c>
      <c r="J462" s="0" t="n">
        <f aca="false">$J$3*EXP(-$E$1*B462*86.4/$G$1)</f>
        <v>273.404329239148</v>
      </c>
      <c r="K462" s="0" t="n">
        <f aca="false">J461-J462</f>
        <v>0.773535996659405</v>
      </c>
    </row>
    <row r="463" customFormat="false" ht="12.8" hidden="false" customHeight="false" outlineLevel="0" collapsed="false">
      <c r="A463" s="0" t="n">
        <v>1</v>
      </c>
      <c r="B463" s="0" t="n">
        <f aca="false">B462+A463</f>
        <v>460</v>
      </c>
      <c r="C463" s="0" t="n">
        <f aca="false">$C$3+($G$1/($E$1*86.4))*SINH($E$1*B463*86.4/$G$1)</f>
        <v>45204.8788335751</v>
      </c>
      <c r="D463" s="0" t="n">
        <f aca="false">C463-$C$3-B463</f>
        <v>140.878833575116</v>
      </c>
      <c r="E463" s="0" t="n">
        <f aca="false">$E$1*B463*86.4</f>
        <v>389888.64</v>
      </c>
      <c r="F463" s="0" t="n">
        <f aca="false">$G$1*G463</f>
        <v>258488.270861587</v>
      </c>
      <c r="G463" s="0" t="n">
        <f aca="false">TANH($E$1*B463*86.4/$G$1)</f>
        <v>0.861627569538623</v>
      </c>
      <c r="H463" s="0" t="n">
        <f aca="false">COSH($E$1*B463*86.4/$G$1)</f>
        <v>1.97028392653701</v>
      </c>
      <c r="I463" s="0" t="n">
        <f aca="false">(($G$1^2*1000)/($E$1*$I$1))*(H463-1)</f>
        <v>0.940902185800581</v>
      </c>
      <c r="J463" s="0" t="n">
        <f aca="false">$J$3*EXP(-$E$1*B463*86.4/$G$1)</f>
        <v>272.632975613912</v>
      </c>
      <c r="K463" s="0" t="n">
        <f aca="false">J462-J463</f>
        <v>0.771353625235747</v>
      </c>
    </row>
    <row r="464" customFormat="false" ht="12.8" hidden="false" customHeight="false" outlineLevel="0" collapsed="false">
      <c r="A464" s="0" t="n">
        <v>1</v>
      </c>
      <c r="B464" s="0" t="n">
        <f aca="false">B463+A464</f>
        <v>461</v>
      </c>
      <c r="C464" s="0" t="n">
        <f aca="false">$C$3+($G$1/($E$1*86.4))*SINH($E$1*B464*86.4/$G$1)</f>
        <v>45206.8515182941</v>
      </c>
      <c r="D464" s="0" t="n">
        <f aca="false">C464-$C$3-B464</f>
        <v>141.85151829409</v>
      </c>
      <c r="E464" s="0" t="n">
        <f aca="false">$E$1*B464*86.4</f>
        <v>390736.224</v>
      </c>
      <c r="F464" s="0" t="n">
        <f aca="false">$G$1*G464</f>
        <v>258706.075955697</v>
      </c>
      <c r="G464" s="0" t="n">
        <f aca="false">TANH($E$1*B464*86.4/$G$1)</f>
        <v>0.86235358651899</v>
      </c>
      <c r="H464" s="0" t="n">
        <f aca="false">COSH($E$1*B464*86.4/$G$1)</f>
        <v>1.97508813580892</v>
      </c>
      <c r="I464" s="0" t="n">
        <f aca="false">(($G$1^2*1000)/($E$1*$I$1))*(H464-1)</f>
        <v>0.945560915973627</v>
      </c>
      <c r="J464" s="0" t="n">
        <f aca="false">$J$3*EXP(-$E$1*B464*86.4/$G$1)</f>
        <v>271.863798202992</v>
      </c>
      <c r="K464" s="0" t="n">
        <f aca="false">J463-J464</f>
        <v>0.769177410920236</v>
      </c>
    </row>
    <row r="465" customFormat="false" ht="12.8" hidden="false" customHeight="false" outlineLevel="0" collapsed="false">
      <c r="A465" s="0" t="n">
        <v>1</v>
      </c>
      <c r="B465" s="0" t="n">
        <f aca="false">B464+A465</f>
        <v>462</v>
      </c>
      <c r="C465" s="0" t="n">
        <f aca="false">$C$3+($G$1/($E$1*86.4))*SINH($E$1*B465*86.4/$G$1)</f>
        <v>45208.8290151019</v>
      </c>
      <c r="D465" s="0" t="n">
        <f aca="false">C465-$C$3-B465</f>
        <v>142.829015101925</v>
      </c>
      <c r="E465" s="0" t="n">
        <f aca="false">$E$1*B465*86.4</f>
        <v>391583.808</v>
      </c>
      <c r="F465" s="0" t="n">
        <f aca="false">$G$1*G465</f>
        <v>258922.822315659</v>
      </c>
      <c r="G465" s="0" t="n">
        <f aca="false">TANH($E$1*B465*86.4/$G$1)</f>
        <v>0.86307607438553</v>
      </c>
      <c r="H465" s="0" t="n">
        <f aca="false">COSH($E$1*B465*86.4/$G$1)</f>
        <v>1.97990811065381</v>
      </c>
      <c r="I465" s="0" t="n">
        <f aca="false">(($G$1^2*1000)/($E$1*$I$1))*(H465-1)</f>
        <v>0.950234934313029</v>
      </c>
      <c r="J465" s="0" t="n">
        <f aca="false">$J$3*EXP(-$E$1*B465*86.4/$G$1)</f>
        <v>271.096790866649</v>
      </c>
      <c r="K465" s="0" t="n">
        <f aca="false">J464-J465</f>
        <v>0.767007336342488</v>
      </c>
    </row>
    <row r="466" customFormat="false" ht="12.8" hidden="false" customHeight="false" outlineLevel="0" collapsed="false">
      <c r="A466" s="0" t="n">
        <v>1</v>
      </c>
      <c r="B466" s="0" t="n">
        <f aca="false">B465+A466</f>
        <v>463</v>
      </c>
      <c r="C466" s="0" t="n">
        <f aca="false">$C$3+($G$1/($E$1*86.4))*SINH($E$1*B466*86.4/$G$1)</f>
        <v>45210.8113397834</v>
      </c>
      <c r="D466" s="0" t="n">
        <f aca="false">C466-$C$3-B466</f>
        <v>143.81133978341</v>
      </c>
      <c r="E466" s="0" t="n">
        <f aca="false">$E$1*B466*86.4</f>
        <v>392431.392</v>
      </c>
      <c r="F466" s="0" t="n">
        <f aca="false">$G$1*G466</f>
        <v>259138.514207341</v>
      </c>
      <c r="G466" s="0" t="n">
        <f aca="false">TANH($E$1*B466*86.4/$G$1)</f>
        <v>0.863795047357803</v>
      </c>
      <c r="H466" s="0" t="n">
        <f aca="false">COSH($E$1*B466*86.4/$G$1)</f>
        <v>1.98474388954575</v>
      </c>
      <c r="I466" s="0" t="n">
        <f aca="false">(($G$1^2*1000)/($E$1*$I$1))*(H466-1)</f>
        <v>0.954924278127795</v>
      </c>
      <c r="J466" s="0" t="n">
        <f aca="false">$J$3*EXP(-$E$1*B466*86.4/$G$1)</f>
        <v>270.331947482469</v>
      </c>
      <c r="K466" s="0" t="n">
        <f aca="false">J465-J466</f>
        <v>0.764843384180097</v>
      </c>
    </row>
    <row r="467" customFormat="false" ht="12.8" hidden="false" customHeight="false" outlineLevel="0" collapsed="false">
      <c r="A467" s="0" t="n">
        <v>1</v>
      </c>
      <c r="B467" s="0" t="n">
        <f aca="false">B466+A467</f>
        <v>464</v>
      </c>
      <c r="C467" s="0" t="n">
        <f aca="false">$C$3+($G$1/($E$1*86.4))*SINH($E$1*B467*86.4/$G$1)</f>
        <v>45212.7985081619</v>
      </c>
      <c r="D467" s="0" t="n">
        <f aca="false">C467-$C$3-B467</f>
        <v>144.798508161897</v>
      </c>
      <c r="E467" s="0" t="n">
        <f aca="false">$E$1*B467*86.4</f>
        <v>393278.976</v>
      </c>
      <c r="F467" s="0" t="n">
        <f aca="false">$G$1*G467</f>
        <v>259353.15588871</v>
      </c>
      <c r="G467" s="0" t="n">
        <f aca="false">TANH($E$1*B467*86.4/$G$1)</f>
        <v>0.864510519629033</v>
      </c>
      <c r="H467" s="0" t="n">
        <f aca="false">COSH($E$1*B467*86.4/$G$1)</f>
        <v>1.98959551108495</v>
      </c>
      <c r="I467" s="0" t="n">
        <f aca="false">(($G$1^2*1000)/($E$1*$I$1))*(H467-1)</f>
        <v>0.959628984849263</v>
      </c>
      <c r="J467" s="0" t="n">
        <f aca="false">$J$3*EXP(-$E$1*B467*86.4/$G$1)</f>
        <v>269.569261945309</v>
      </c>
      <c r="K467" s="0" t="n">
        <f aca="false">J466-J467</f>
        <v>0.762685537159882</v>
      </c>
    </row>
    <row r="468" customFormat="false" ht="12.8" hidden="false" customHeight="false" outlineLevel="0" collapsed="false">
      <c r="A468" s="0" t="n">
        <v>1</v>
      </c>
      <c r="B468" s="0" t="n">
        <f aca="false">B467+A468</f>
        <v>465</v>
      </c>
      <c r="C468" s="0" t="n">
        <f aca="false">$C$3+($G$1/($E$1*86.4))*SINH($E$1*B468*86.4/$G$1)</f>
        <v>45214.7905360994</v>
      </c>
      <c r="D468" s="0" t="n">
        <f aca="false">C468-$C$3-B468</f>
        <v>145.790536099368</v>
      </c>
      <c r="E468" s="0" t="n">
        <f aca="false">$E$1*B468*86.4</f>
        <v>394126.56</v>
      </c>
      <c r="F468" s="0" t="n">
        <f aca="false">$G$1*G468</f>
        <v>259566.751609738</v>
      </c>
      <c r="G468" s="0" t="n">
        <f aca="false">TANH($E$1*B468*86.4/$G$1)</f>
        <v>0.865222505365793</v>
      </c>
      <c r="H468" s="0" t="n">
        <f aca="false">COSH($E$1*B468*86.4/$G$1)</f>
        <v>1.99446301399808</v>
      </c>
      <c r="I468" s="0" t="n">
        <f aca="false">(($G$1^2*1000)/($E$1*$I$1))*(H468-1)</f>
        <v>0.964349092031402</v>
      </c>
      <c r="J468" s="0" t="n">
        <f aca="false">$J$3*EXP(-$E$1*B468*86.4/$G$1)</f>
        <v>268.808728167251</v>
      </c>
      <c r="K468" s="0" t="n">
        <f aca="false">J467-J468</f>
        <v>0.760533778057891</v>
      </c>
    </row>
    <row r="469" customFormat="false" ht="12.8" hidden="false" customHeight="false" outlineLevel="0" collapsed="false">
      <c r="A469" s="0" t="n">
        <v>1</v>
      </c>
      <c r="B469" s="0" t="n">
        <f aca="false">B468+A469</f>
        <v>466</v>
      </c>
      <c r="C469" s="0" t="n">
        <f aca="false">$C$3+($G$1/($E$1*86.4))*SINH($E$1*B469*86.4/$G$1)</f>
        <v>45216.7874394966</v>
      </c>
      <c r="D469" s="0" t="n">
        <f aca="false">C469-$C$3-B469</f>
        <v>146.787439496635</v>
      </c>
      <c r="E469" s="0" t="n">
        <f aca="false">$E$1*B469*86.4</f>
        <v>394974.144</v>
      </c>
      <c r="F469" s="0" t="n">
        <f aca="false">$G$1*G469</f>
        <v>259779.305612311</v>
      </c>
      <c r="G469" s="0" t="n">
        <f aca="false">TANH($E$1*B469*86.4/$G$1)</f>
        <v>0.865931018707704</v>
      </c>
      <c r="H469" s="0" t="n">
        <f aca="false">COSH($E$1*B469*86.4/$G$1)</f>
        <v>1.9993464371386</v>
      </c>
      <c r="I469" s="0" t="n">
        <f aca="false">(($G$1^2*1000)/($E$1*$I$1))*(H469-1)</f>
        <v>0.969084637351108</v>
      </c>
      <c r="J469" s="0" t="n">
        <f aca="false">$J$3*EXP(-$E$1*B469*86.4/$G$1)</f>
        <v>268.050340077553</v>
      </c>
      <c r="K469" s="0" t="n">
        <f aca="false">J468-J469</f>
        <v>0.758388089697803</v>
      </c>
    </row>
    <row r="470" customFormat="false" ht="12.8" hidden="false" customHeight="false" outlineLevel="0" collapsed="false">
      <c r="A470" s="0" t="n">
        <v>1</v>
      </c>
      <c r="B470" s="0" t="n">
        <f aca="false">B469+A470</f>
        <v>467</v>
      </c>
      <c r="C470" s="0" t="n">
        <f aca="false">$C$3+($G$1/($E$1*86.4))*SINH($E$1*B470*86.4/$G$1)</f>
        <v>45218.7892342934</v>
      </c>
      <c r="D470" s="0" t="n">
        <f aca="false">C470-$C$3-B470</f>
        <v>147.789234293385</v>
      </c>
      <c r="E470" s="0" t="n">
        <f aca="false">$E$1*B470*86.4</f>
        <v>395821.728</v>
      </c>
      <c r="F470" s="0" t="n">
        <f aca="false">$G$1*G470</f>
        <v>259990.822130139</v>
      </c>
      <c r="G470" s="0" t="n">
        <f aca="false">TANH($E$1*B470*86.4/$G$1)</f>
        <v>0.866636073767132</v>
      </c>
      <c r="H470" s="0" t="n">
        <f aca="false">COSH($E$1*B470*86.4/$G$1)</f>
        <v>2.00424581948701</v>
      </c>
      <c r="I470" s="0" t="n">
        <f aca="false">(($G$1^2*1000)/($E$1*$I$1))*(H470-1)</f>
        <v>0.973835658608512</v>
      </c>
      <c r="J470" s="0" t="n">
        <f aca="false">$J$3*EXP(-$E$1*B470*86.4/$G$1)</f>
        <v>267.294091622601</v>
      </c>
      <c r="K470" s="0" t="n">
        <f aca="false">J469-J470</f>
        <v>0.756248454952697</v>
      </c>
    </row>
    <row r="471" customFormat="false" ht="12.8" hidden="false" customHeight="false" outlineLevel="0" collapsed="false">
      <c r="A471" s="0" t="n">
        <v>1</v>
      </c>
      <c r="B471" s="0" t="n">
        <f aca="false">B470+A471</f>
        <v>468</v>
      </c>
      <c r="C471" s="0" t="n">
        <f aca="false">$C$3+($G$1/($E$1*86.4))*SINH($E$1*B471*86.4/$G$1)</f>
        <v>45220.7959364684</v>
      </c>
      <c r="D471" s="0" t="n">
        <f aca="false">C471-$C$3-B471</f>
        <v>148.795936468377</v>
      </c>
      <c r="E471" s="0" t="n">
        <f aca="false">$E$1*B471*86.4</f>
        <v>396669.312</v>
      </c>
      <c r="F471" s="0" t="n">
        <f aca="false">$G$1*G471</f>
        <v>260201.305388668</v>
      </c>
      <c r="G471" s="0" t="n">
        <f aca="false">TANH($E$1*B471*86.4/$G$1)</f>
        <v>0.867337684628892</v>
      </c>
      <c r="H471" s="0" t="n">
        <f aca="false">COSH($E$1*B471*86.4/$G$1)</f>
        <v>2.00916120015123</v>
      </c>
      <c r="I471" s="0" t="n">
        <f aca="false">(($G$1^2*1000)/($E$1*$I$1))*(H471-1)</f>
        <v>0.978602193727273</v>
      </c>
      <c r="J471" s="0" t="n">
        <f aca="false">$J$3*EXP(-$E$1*B471*86.4/$G$1)</f>
        <v>266.539976765857</v>
      </c>
      <c r="K471" s="0" t="n">
        <f aca="false">J470-J471</f>
        <v>0.754114856743286</v>
      </c>
    </row>
    <row r="472" customFormat="false" ht="12.8" hidden="false" customHeight="false" outlineLevel="0" collapsed="false">
      <c r="A472" s="0" t="n">
        <v>1</v>
      </c>
      <c r="B472" s="0" t="n">
        <f aca="false">B471+A472</f>
        <v>469</v>
      </c>
      <c r="C472" s="0" t="n">
        <f aca="false">$C$3+($G$1/($E$1*86.4))*SINH($E$1*B472*86.4/$G$1)</f>
        <v>45222.8075620395</v>
      </c>
      <c r="D472" s="0" t="n">
        <f aca="false">C472-$C$3-B472</f>
        <v>149.807562039532</v>
      </c>
      <c r="E472" s="0" t="n">
        <f aca="false">$E$1*B472*86.4</f>
        <v>397516.896</v>
      </c>
      <c r="F472" s="0" t="n">
        <f aca="false">$G$1*G472</f>
        <v>260410.759604988</v>
      </c>
      <c r="G472" s="0" t="n">
        <f aca="false">TANH($E$1*B472*86.4/$G$1)</f>
        <v>0.86803586534996</v>
      </c>
      <c r="H472" s="0" t="n">
        <f aca="false">COSH($E$1*B472*86.4/$G$1)</f>
        <v>2.01409261836688</v>
      </c>
      <c r="I472" s="0" t="n">
        <f aca="false">(($G$1^2*1000)/($E$1*$I$1))*(H472-1)</f>
        <v>0.983384280754888</v>
      </c>
      <c r="J472" s="0" t="n">
        <f aca="false">$J$3*EXP(-$E$1*B472*86.4/$G$1)</f>
        <v>265.787989487819</v>
      </c>
      <c r="K472" s="0" t="n">
        <f aca="false">J471-J472</f>
        <v>0.751987278038826</v>
      </c>
    </row>
    <row r="473" customFormat="false" ht="12.8" hidden="false" customHeight="false" outlineLevel="0" collapsed="false">
      <c r="A473" s="0" t="n">
        <v>1</v>
      </c>
      <c r="B473" s="0" t="n">
        <f aca="false">B472+A473</f>
        <v>470</v>
      </c>
      <c r="C473" s="0" t="n">
        <f aca="false">$C$3+($G$1/($E$1*86.4))*SINH($E$1*B473*86.4/$G$1)</f>
        <v>45224.8241270641</v>
      </c>
      <c r="D473" s="0" t="n">
        <f aca="false">C473-$C$3-B473</f>
        <v>150.824127064079</v>
      </c>
      <c r="E473" s="0" t="n">
        <f aca="false">$E$1*B473*86.4</f>
        <v>398364.48</v>
      </c>
      <c r="F473" s="0" t="n">
        <f aca="false">$G$1*G473</f>
        <v>260619.188987755</v>
      </c>
      <c r="G473" s="0" t="n">
        <f aca="false">TANH($E$1*B473*86.4/$G$1)</f>
        <v>0.868730629959185</v>
      </c>
      <c r="H473" s="0" t="n">
        <f aca="false">COSH($E$1*B473*86.4/$G$1)</f>
        <v>2.01904011349757</v>
      </c>
      <c r="I473" s="0" t="n">
        <f aca="false">(($G$1^2*1000)/($E$1*$I$1))*(H473-1)</f>
        <v>0.98818195786299</v>
      </c>
      <c r="J473" s="0" t="n">
        <f aca="false">$J$3*EXP(-$E$1*B473*86.4/$G$1)</f>
        <v>265.038123785962</v>
      </c>
      <c r="K473" s="0" t="n">
        <f aca="false">J472-J473</f>
        <v>0.749865701856493</v>
      </c>
    </row>
    <row r="474" customFormat="false" ht="12.8" hidden="false" customHeight="false" outlineLevel="0" collapsed="false">
      <c r="A474" s="0" t="n">
        <v>1</v>
      </c>
      <c r="B474" s="0" t="n">
        <f aca="false">B473+A474</f>
        <v>471</v>
      </c>
      <c r="C474" s="0" t="n">
        <f aca="false">$C$3+($G$1/($E$1*86.4))*SINH($E$1*B474*86.4/$G$1)</f>
        <v>45226.8456476387</v>
      </c>
      <c r="D474" s="0" t="n">
        <f aca="false">C474-$C$3-B474</f>
        <v>151.845647638664</v>
      </c>
      <c r="E474" s="0" t="n">
        <f aca="false">$E$1*B474*86.4</f>
        <v>399212.064</v>
      </c>
      <c r="F474" s="0" t="n">
        <f aca="false">$G$1*G474</f>
        <v>260826.597737102</v>
      </c>
      <c r="G474" s="0" t="n">
        <f aca="false">TANH($E$1*B474*86.4/$G$1)</f>
        <v>0.869421992457007</v>
      </c>
      <c r="H474" s="0" t="n">
        <f aca="false">COSH($E$1*B474*86.4/$G$1)</f>
        <v>2.02400372503527</v>
      </c>
      <c r="I474" s="0" t="n">
        <f aca="false">(($G$1^2*1000)/($E$1*$I$1))*(H474-1)</f>
        <v>0.992995263347657</v>
      </c>
      <c r="J474" s="0" t="n">
        <f aca="false">$J$3*EXP(-$E$1*B474*86.4/$G$1)</f>
        <v>264.290373674701</v>
      </c>
      <c r="K474" s="0" t="n">
        <f aca="false">J473-J474</f>
        <v>0.747750111261496</v>
      </c>
    </row>
    <row r="475" customFormat="false" ht="12.8" hidden="false" customHeight="false" outlineLevel="0" collapsed="false">
      <c r="A475" s="0" t="n">
        <v>1</v>
      </c>
      <c r="B475" s="0" t="n">
        <f aca="false">B474+A475</f>
        <v>472</v>
      </c>
      <c r="C475" s="0" t="n">
        <f aca="false">$C$3+($G$1/($E$1*86.4))*SINH($E$1*B475*86.4/$G$1)</f>
        <v>45228.8721398995</v>
      </c>
      <c r="D475" s="0" t="n">
        <f aca="false">C475-$C$3-B475</f>
        <v>152.872139899489</v>
      </c>
      <c r="E475" s="0" t="n">
        <f aca="false">$E$1*B475*86.4</f>
        <v>400059.648</v>
      </c>
      <c r="F475" s="0" t="n">
        <f aca="false">$G$1*G475</f>
        <v>261032.990044555</v>
      </c>
      <c r="G475" s="0" t="n">
        <f aca="false">TANH($E$1*B475*86.4/$G$1)</f>
        <v>0.870109966815183</v>
      </c>
      <c r="H475" s="0" t="n">
        <f aca="false">COSH($E$1*B475*86.4/$G$1)</f>
        <v>2.02898349260057</v>
      </c>
      <c r="I475" s="0" t="n">
        <f aca="false">(($G$1^2*1000)/($E$1*$I$1))*(H475-1)</f>
        <v>0.997824235629716</v>
      </c>
      <c r="J475" s="0" t="n">
        <f aca="false">$J$3*EXP(-$E$1*B475*86.4/$G$1)</f>
        <v>263.544733185334</v>
      </c>
      <c r="K475" s="0" t="n">
        <f aca="false">J474-J475</f>
        <v>0.745640489366849</v>
      </c>
    </row>
    <row r="476" customFormat="false" ht="12.8" hidden="false" customHeight="false" outlineLevel="0" collapsed="false">
      <c r="A476" s="0" t="n">
        <v>1</v>
      </c>
      <c r="B476" s="0" t="n">
        <f aca="false">B475+A476</f>
        <v>473</v>
      </c>
      <c r="C476" s="0" t="n">
        <f aca="false">$C$3+($G$1/($E$1*86.4))*SINH($E$1*B476*86.4/$G$1)</f>
        <v>45230.9036200225</v>
      </c>
      <c r="D476" s="0" t="n">
        <f aca="false">C476-$C$3-B476</f>
        <v>153.903620022458</v>
      </c>
      <c r="E476" s="0" t="n">
        <f aca="false">$E$1*B476*86.4</f>
        <v>400907.232</v>
      </c>
      <c r="F476" s="0" t="n">
        <f aca="false">$G$1*G476</f>
        <v>261238.370092953</v>
      </c>
      <c r="G476" s="0" t="n">
        <f aca="false">TANH($E$1*B476*86.4/$G$1)</f>
        <v>0.870794566976511</v>
      </c>
      <c r="H476" s="0" t="n">
        <f aca="false">COSH($E$1*B476*86.4/$G$1)</f>
        <v>2.03397945594305</v>
      </c>
      <c r="I476" s="0" t="n">
        <f aca="false">(($G$1^2*1000)/($E$1*$I$1))*(H476-1)</f>
        <v>1.00266891325505</v>
      </c>
      <c r="J476" s="0" t="n">
        <f aca="false">$J$3*EXP(-$E$1*B476*86.4/$G$1)</f>
        <v>262.801196366001</v>
      </c>
      <c r="K476" s="0" t="n">
        <f aca="false">J475-J476</f>
        <v>0.743536819332633</v>
      </c>
    </row>
    <row r="477" customFormat="false" ht="12.8" hidden="false" customHeight="false" outlineLevel="0" collapsed="false">
      <c r="A477" s="0" t="n">
        <v>1</v>
      </c>
      <c r="B477" s="0" t="n">
        <f aca="false">B476+A477</f>
        <v>474</v>
      </c>
      <c r="C477" s="0" t="n">
        <f aca="false">$C$3+($G$1/($E$1*86.4))*SINH($E$1*B477*86.4/$G$1)</f>
        <v>45232.9401042233</v>
      </c>
      <c r="D477" s="0" t="n">
        <f aca="false">C477-$C$3-B477</f>
        <v>154.940104223264</v>
      </c>
      <c r="E477" s="0" t="n">
        <f aca="false">$E$1*B477*86.4</f>
        <v>401754.816</v>
      </c>
      <c r="F477" s="0" t="n">
        <f aca="false">$G$1*G477</f>
        <v>261442.74205637</v>
      </c>
      <c r="G477" s="0" t="n">
        <f aca="false">TANH($E$1*B477*86.4/$G$1)</f>
        <v>0.871475806854566</v>
      </c>
      <c r="H477" s="0" t="n">
        <f aca="false">COSH($E$1*B477*86.4/$G$1)</f>
        <v>2.03899165494153</v>
      </c>
      <c r="I477" s="0" t="n">
        <f aca="false">(($G$1^2*1000)/($E$1*$I$1))*(H477-1)</f>
        <v>1.0075293348949</v>
      </c>
      <c r="J477" s="0" t="n">
        <f aca="false">$J$3*EXP(-$E$1*B477*86.4/$G$1)</f>
        <v>262.059757281634</v>
      </c>
      <c r="K477" s="0" t="n">
        <f aca="false">J476-J477</f>
        <v>0.741439084367528</v>
      </c>
    </row>
    <row r="478" customFormat="false" ht="12.8" hidden="false" customHeight="false" outlineLevel="0" collapsed="false">
      <c r="A478" s="0" t="n">
        <v>1</v>
      </c>
      <c r="B478" s="0" t="n">
        <f aca="false">B477+A478</f>
        <v>475</v>
      </c>
      <c r="C478" s="0" t="n">
        <f aca="false">$C$3+($G$1/($E$1*86.4))*SINH($E$1*B478*86.4/$G$1)</f>
        <v>45234.9816087576</v>
      </c>
      <c r="D478" s="0" t="n">
        <f aca="false">C478-$C$3-B478</f>
        <v>155.98160875756</v>
      </c>
      <c r="E478" s="0" t="n">
        <f aca="false">$E$1*B478*86.4</f>
        <v>402602.4</v>
      </c>
      <c r="F478" s="0" t="n">
        <f aca="false">$G$1*G478</f>
        <v>261646.11010003</v>
      </c>
      <c r="G478" s="0" t="n">
        <f aca="false">TANH($E$1*B478*86.4/$G$1)</f>
        <v>0.872153700333433</v>
      </c>
      <c r="H478" s="0" t="n">
        <f aca="false">COSH($E$1*B478*86.4/$G$1)</f>
        <v>2.04402012960447</v>
      </c>
      <c r="I478" s="0" t="n">
        <f aca="false">(($G$1^2*1000)/($E$1*$I$1))*(H478-1)</f>
        <v>1.01240553934619</v>
      </c>
      <c r="J478" s="0" t="n">
        <f aca="false">$J$3*EXP(-$E$1*B478*86.4/$G$1)</f>
        <v>261.320410013907</v>
      </c>
      <c r="K478" s="0" t="n">
        <f aca="false">J477-J478</f>
        <v>0.739347267726487</v>
      </c>
    </row>
    <row r="479" customFormat="false" ht="12.8" hidden="false" customHeight="false" outlineLevel="0" collapsed="false">
      <c r="A479" s="0" t="n">
        <v>1</v>
      </c>
      <c r="B479" s="0" t="n">
        <f aca="false">B478+A479</f>
        <v>476</v>
      </c>
      <c r="C479" s="0" t="n">
        <f aca="false">$C$3+($G$1/($E$1*86.4))*SINH($E$1*B479*86.4/$G$1)</f>
        <v>45237.0281499211</v>
      </c>
      <c r="D479" s="0" t="n">
        <f aca="false">C479-$C$3-B479</f>
        <v>157.028149921069</v>
      </c>
      <c r="E479" s="0" t="n">
        <f aca="false">$E$1*B479*86.4</f>
        <v>403449.984</v>
      </c>
      <c r="F479" s="0" t="n">
        <f aca="false">$G$1*G479</f>
        <v>261848.478380236</v>
      </c>
      <c r="G479" s="0" t="n">
        <f aca="false">TANH($E$1*B479*86.4/$G$1)</f>
        <v>0.872828261267453</v>
      </c>
      <c r="H479" s="0" t="n">
        <f aca="false">COSH($E$1*B479*86.4/$G$1)</f>
        <v>2.0490649200702</v>
      </c>
      <c r="I479" s="0" t="n">
        <f aca="false">(($G$1^2*1000)/($E$1*$I$1))*(H479-1)</f>
        <v>1.01729756553182</v>
      </c>
      <c r="J479" s="0" t="n">
        <f aca="false">$J$3*EXP(-$E$1*B479*86.4/$G$1)</f>
        <v>260.583148661195</v>
      </c>
      <c r="K479" s="0" t="n">
        <f aca="false">J478-J479</f>
        <v>0.737261352712551</v>
      </c>
    </row>
    <row r="480" customFormat="false" ht="12.8" hidden="false" customHeight="false" outlineLevel="0" collapsed="false">
      <c r="A480" s="0" t="n">
        <v>1</v>
      </c>
      <c r="B480" s="0" t="n">
        <f aca="false">B479+A480</f>
        <v>477</v>
      </c>
      <c r="C480" s="0" t="n">
        <f aca="false">$C$3+($G$1/($E$1*86.4))*SINH($E$1*B480*86.4/$G$1)</f>
        <v>45239.0797440497</v>
      </c>
      <c r="D480" s="0" t="n">
        <f aca="false">C480-$C$3-B480</f>
        <v>158.079744049719</v>
      </c>
      <c r="E480" s="0" t="n">
        <f aca="false">$E$1*B480*86.4</f>
        <v>404297.568</v>
      </c>
      <c r="F480" s="0" t="n">
        <f aca="false">$G$1*G480</f>
        <v>262049.851044289</v>
      </c>
      <c r="G480" s="0" t="n">
        <f aca="false">TANH($E$1*B480*86.4/$G$1)</f>
        <v>0.873499503480964</v>
      </c>
      <c r="H480" s="0" t="n">
        <f aca="false">COSH($E$1*B480*86.4/$G$1)</f>
        <v>2.05412606660732</v>
      </c>
      <c r="I480" s="0" t="n">
        <f aca="false">(($G$1^2*1000)/($E$1*$I$1))*(H480-1)</f>
        <v>1.02220545250098</v>
      </c>
      <c r="J480" s="0" t="n">
        <f aca="false">$J$3*EXP(-$E$1*B480*86.4/$G$1)</f>
        <v>259.847967338519</v>
      </c>
      <c r="K480" s="0" t="n">
        <f aca="false">J479-J480</f>
        <v>0.735181322675089</v>
      </c>
    </row>
    <row r="481" customFormat="false" ht="12.8" hidden="false" customHeight="false" outlineLevel="0" collapsed="false">
      <c r="A481" s="0" t="n">
        <v>1</v>
      </c>
      <c r="B481" s="0" t="n">
        <f aca="false">B480+A481</f>
        <v>478</v>
      </c>
      <c r="C481" s="0" t="n">
        <f aca="false">$C$3+($G$1/($E$1*86.4))*SINH($E$1*B481*86.4/$G$1)</f>
        <v>45241.1364075198</v>
      </c>
      <c r="D481" s="0" t="n">
        <f aca="false">C481-$C$3-B481</f>
        <v>159.136407519771</v>
      </c>
      <c r="E481" s="0" t="n">
        <f aca="false">$E$1*B481*86.4</f>
        <v>405145.152</v>
      </c>
      <c r="F481" s="0" t="n">
        <f aca="false">$G$1*G481</f>
        <v>262250.232230417</v>
      </c>
      <c r="G481" s="0" t="n">
        <f aca="false">TANH($E$1*B481*86.4/$G$1)</f>
        <v>0.874167440768057</v>
      </c>
      <c r="H481" s="0" t="n">
        <f aca="false">COSH($E$1*B481*86.4/$G$1)</f>
        <v>2.05920360961498</v>
      </c>
      <c r="I481" s="0" t="n">
        <f aca="false">(($G$1^2*1000)/($E$1*$I$1))*(H481-1)</f>
        <v>1.02712923942946</v>
      </c>
      <c r="J481" s="0" t="n">
        <f aca="false">$J$3*EXP(-$E$1*B481*86.4/$G$1)</f>
        <v>259.114860177508</v>
      </c>
      <c r="K481" s="0" t="n">
        <f aca="false">J480-J481</f>
        <v>0.733107161011219</v>
      </c>
    </row>
    <row r="482" customFormat="false" ht="12.8" hidden="false" customHeight="false" outlineLevel="0" collapsed="false">
      <c r="A482" s="0" t="n">
        <v>1</v>
      </c>
      <c r="B482" s="0" t="n">
        <f aca="false">B481+A482</f>
        <v>479</v>
      </c>
      <c r="C482" s="0" t="n">
        <f aca="false">$C$3+($G$1/($E$1*86.4))*SINH($E$1*B482*86.4/$G$1)</f>
        <v>45243.198156748</v>
      </c>
      <c r="D482" s="0" t="n">
        <f aca="false">C482-$C$3-B482</f>
        <v>160.198156747952</v>
      </c>
      <c r="E482" s="0" t="n">
        <f aca="false">$E$1*B482*86.4</f>
        <v>405992.736</v>
      </c>
      <c r="F482" s="0" t="n">
        <f aca="false">$G$1*G482</f>
        <v>262449.626067697</v>
      </c>
      <c r="G482" s="0" t="n">
        <f aca="false">TANH($E$1*B482*86.4/$G$1)</f>
        <v>0.874832086892323</v>
      </c>
      <c r="H482" s="0" t="n">
        <f aca="false">COSH($E$1*B482*86.4/$G$1)</f>
        <v>2.0642975896232</v>
      </c>
      <c r="I482" s="0" t="n">
        <f aca="false">(($G$1^2*1000)/($E$1*$I$1))*(H482-1)</f>
        <v>1.03206896561999</v>
      </c>
      <c r="J482" s="0" t="n">
        <f aca="false">$J$3*EXP(-$E$1*B482*86.4/$G$1)</f>
        <v>258.383821326344</v>
      </c>
      <c r="K482" s="0" t="n">
        <f aca="false">J481-J482</f>
        <v>0.731038851164328</v>
      </c>
    </row>
    <row r="483" customFormat="false" ht="12.8" hidden="false" customHeight="false" outlineLevel="0" collapsed="false">
      <c r="A483" s="0" t="n">
        <v>1</v>
      </c>
      <c r="B483" s="0" t="n">
        <f aca="false">B482+A483</f>
        <v>480</v>
      </c>
      <c r="C483" s="0" t="n">
        <f aca="false">$C$3+($G$1/($E$1*86.4))*SINH($E$1*B483*86.4/$G$1)</f>
        <v>45245.2650081916</v>
      </c>
      <c r="D483" s="0" t="n">
        <f aca="false">C483-$C$3-B483</f>
        <v>161.265008191571</v>
      </c>
      <c r="E483" s="0" t="n">
        <f aca="false">$E$1*B483*86.4</f>
        <v>406840.32</v>
      </c>
      <c r="F483" s="0" t="n">
        <f aca="false">$G$1*G483</f>
        <v>262648.036675986</v>
      </c>
      <c r="G483" s="0" t="n">
        <f aca="false">TANH($E$1*B483*86.4/$G$1)</f>
        <v>0.875493455586619</v>
      </c>
      <c r="H483" s="0" t="n">
        <f aca="false">COSH($E$1*B483*86.4/$G$1)</f>
        <v>2.06940804729321</v>
      </c>
      <c r="I483" s="0" t="n">
        <f aca="false">(($G$1^2*1000)/($E$1*$I$1))*(H483-1)</f>
        <v>1.03702467050249</v>
      </c>
      <c r="J483" s="0" t="n">
        <f aca="false">$J$3*EXP(-$E$1*B483*86.4/$G$1)</f>
        <v>257.654844949719</v>
      </c>
      <c r="K483" s="0" t="n">
        <f aca="false">J482-J483</f>
        <v>0.728976376624928</v>
      </c>
    </row>
    <row r="484" customFormat="false" ht="12.8" hidden="false" customHeight="false" outlineLevel="0" collapsed="false">
      <c r="A484" s="0" t="n">
        <v>1</v>
      </c>
      <c r="B484" s="0" t="n">
        <f aca="false">B483+A484</f>
        <v>481</v>
      </c>
      <c r="C484" s="0" t="n">
        <f aca="false">$C$3+($G$1/($E$1*86.4))*SINH($E$1*B484*86.4/$G$1)</f>
        <v>45247.3369783487</v>
      </c>
      <c r="D484" s="0" t="n">
        <f aca="false">C484-$C$3-B484</f>
        <v>162.336978348685</v>
      </c>
      <c r="E484" s="0" t="n">
        <f aca="false">$E$1*B484*86.4</f>
        <v>407687.904</v>
      </c>
      <c r="F484" s="0" t="n">
        <f aca="false">$G$1*G484</f>
        <v>262845.468165849</v>
      </c>
      <c r="G484" s="0" t="n">
        <f aca="false">TANH($E$1*B484*86.4/$G$1)</f>
        <v>0.87615156055283</v>
      </c>
      <c r="H484" s="0" t="n">
        <f aca="false">COSH($E$1*B484*86.4/$G$1)</f>
        <v>2.07453502341777</v>
      </c>
      <c r="I484" s="0" t="n">
        <f aca="false">(($G$1^2*1000)/($E$1*$I$1))*(H484-1)</f>
        <v>1.04199639363447</v>
      </c>
      <c r="J484" s="0" t="n">
        <f aca="false">$J$3*EXP(-$E$1*B484*86.4/$G$1)</f>
        <v>256.927925228789</v>
      </c>
      <c r="K484" s="0" t="n">
        <f aca="false">J483-J484</f>
        <v>0.7269197209298</v>
      </c>
    </row>
    <row r="485" customFormat="false" ht="12.8" hidden="false" customHeight="false" outlineLevel="0" collapsed="false">
      <c r="A485" s="0" t="n">
        <v>1</v>
      </c>
      <c r="B485" s="0" t="n">
        <f aca="false">B484+A485</f>
        <v>482</v>
      </c>
      <c r="C485" s="0" t="n">
        <f aca="false">$C$3+($G$1/($E$1*86.4))*SINH($E$1*B485*86.4/$G$1)</f>
        <v>45249.4140837582</v>
      </c>
      <c r="D485" s="0" t="n">
        <f aca="false">C485-$C$3-B485</f>
        <v>163.414083758202</v>
      </c>
      <c r="E485" s="0" t="n">
        <f aca="false">$E$1*B485*86.4</f>
        <v>408535.488</v>
      </c>
      <c r="F485" s="0" t="n">
        <f aca="false">$G$1*G485</f>
        <v>263041.92463849</v>
      </c>
      <c r="G485" s="0" t="n">
        <f aca="false">TANH($E$1*B485*86.4/$G$1)</f>
        <v>0.876806415461632</v>
      </c>
      <c r="H485" s="0" t="n">
        <f aca="false">COSH($E$1*B485*86.4/$G$1)</f>
        <v>2.0796785589215</v>
      </c>
      <c r="I485" s="0" t="n">
        <f aca="false">(($G$1^2*1000)/($E$1*$I$1))*(H485-1)</f>
        <v>1.04698417470126</v>
      </c>
      <c r="J485" s="0" t="n">
        <f aca="false">$J$3*EXP(-$E$1*B485*86.4/$G$1)</f>
        <v>256.203056361127</v>
      </c>
      <c r="K485" s="0" t="n">
        <f aca="false">J484-J485</f>
        <v>0.724868867662053</v>
      </c>
    </row>
    <row r="486" customFormat="false" ht="12.8" hidden="false" customHeight="false" outlineLevel="0" collapsed="false">
      <c r="A486" s="0" t="n">
        <v>1</v>
      </c>
      <c r="B486" s="0" t="n">
        <f aca="false">B485+A486</f>
        <v>483</v>
      </c>
      <c r="C486" s="0" t="n">
        <f aca="false">$C$3+($G$1/($E$1*86.4))*SINH($E$1*B486*86.4/$G$1)</f>
        <v>45251.496341</v>
      </c>
      <c r="D486" s="0" t="n">
        <f aca="false">C486-$C$3-B486</f>
        <v>164.496341000006</v>
      </c>
      <c r="E486" s="0" t="n">
        <f aca="false">$E$1*B486*86.4</f>
        <v>409383.072</v>
      </c>
      <c r="F486" s="0" t="n">
        <f aca="false">$G$1*G486</f>
        <v>263237.410185681</v>
      </c>
      <c r="G486" s="0" t="n">
        <f aca="false">TANH($E$1*B486*86.4/$G$1)</f>
        <v>0.877458033952269</v>
      </c>
      <c r="H486" s="0" t="n">
        <f aca="false">COSH($E$1*B486*86.4/$G$1)</f>
        <v>2.08483869486118</v>
      </c>
      <c r="I486" s="0" t="n">
        <f aca="false">(($G$1^2*1000)/($E$1*$I$1))*(H486-1)</f>
        <v>1.05198805351641</v>
      </c>
      <c r="J486" s="0" t="n">
        <f aca="false">$J$3*EXP(-$E$1*B486*86.4/$G$1)</f>
        <v>255.480232560675</v>
      </c>
      <c r="K486" s="0" t="n">
        <f aca="false">J485-J486</f>
        <v>0.722823800451778</v>
      </c>
    </row>
    <row r="487" customFormat="false" ht="12.8" hidden="false" customHeight="false" outlineLevel="0" collapsed="false">
      <c r="A487" s="0" t="n">
        <v>1</v>
      </c>
      <c r="B487" s="0" t="n">
        <f aca="false">B486+A487</f>
        <v>484</v>
      </c>
      <c r="C487" s="0" t="n">
        <f aca="false">$C$3+($G$1/($E$1*86.4))*SINH($E$1*B487*86.4/$G$1)</f>
        <v>45253.5837666951</v>
      </c>
      <c r="D487" s="0" t="n">
        <f aca="false">C487-$C$3-B487</f>
        <v>165.583766695127</v>
      </c>
      <c r="E487" s="0" t="n">
        <f aca="false">$E$1*B487*86.4</f>
        <v>410230.656</v>
      </c>
      <c r="F487" s="0" t="n">
        <f aca="false">$G$1*G487</f>
        <v>263431.928889698</v>
      </c>
      <c r="G487" s="0" t="n">
        <f aca="false">TANH($E$1*B487*86.4/$G$1)</f>
        <v>0.878106429632326</v>
      </c>
      <c r="H487" s="0" t="n">
        <f aca="false">COSH($E$1*B487*86.4/$G$1)</f>
        <v>2.09001547242612</v>
      </c>
      <c r="I487" s="0" t="n">
        <f aca="false">(($G$1^2*1000)/($E$1*$I$1))*(H487-1)</f>
        <v>1.05700807002193</v>
      </c>
      <c r="J487" s="0" t="n">
        <f aca="false">$J$3*EXP(-$E$1*B487*86.4/$G$1)</f>
        <v>254.759448057701</v>
      </c>
      <c r="K487" s="0" t="n">
        <f aca="false">J486-J487</f>
        <v>0.720784502974539</v>
      </c>
    </row>
    <row r="488" customFormat="false" ht="12.8" hidden="false" customHeight="false" outlineLevel="0" collapsed="false">
      <c r="A488" s="0" t="n">
        <v>1</v>
      </c>
      <c r="B488" s="0" t="n">
        <f aca="false">B487+A488</f>
        <v>485</v>
      </c>
      <c r="C488" s="0" t="n">
        <f aca="false">$C$3+($G$1/($E$1*86.4))*SINH($E$1*B488*86.4/$G$1)</f>
        <v>45255.6763775058</v>
      </c>
      <c r="D488" s="0" t="n">
        <f aca="false">C488-$C$3-B488</f>
        <v>166.676377505843</v>
      </c>
      <c r="E488" s="0" t="n">
        <f aca="false">$E$1*B488*86.4</f>
        <v>411078.24</v>
      </c>
      <c r="F488" s="0" t="n">
        <f aca="false">$G$1*G488</f>
        <v>263625.484823254</v>
      </c>
      <c r="G488" s="0" t="n">
        <f aca="false">TANH($E$1*B488*86.4/$G$1)</f>
        <v>0.878751616077512</v>
      </c>
      <c r="H488" s="0" t="n">
        <f aca="false">COSH($E$1*B488*86.4/$G$1)</f>
        <v>2.09520893293845</v>
      </c>
      <c r="I488" s="0" t="n">
        <f aca="false">(($G$1^2*1000)/($E$1*$I$1))*(H488-1)</f>
        <v>1.06204426428866</v>
      </c>
      <c r="J488" s="0" t="n">
        <f aca="false">$J$3*EXP(-$E$1*B488*86.4/$G$1)</f>
        <v>254.040697098749</v>
      </c>
      <c r="K488" s="0" t="n">
        <f aca="false">J487-J488</f>
        <v>0.718750958952285</v>
      </c>
    </row>
    <row r="489" customFormat="false" ht="12.8" hidden="false" customHeight="false" outlineLevel="0" collapsed="false">
      <c r="A489" s="0" t="n">
        <v>1</v>
      </c>
      <c r="B489" s="0" t="n">
        <f aca="false">B488+A489</f>
        <v>486</v>
      </c>
      <c r="C489" s="0" t="n">
        <f aca="false">$C$3+($G$1/($E$1*86.4))*SINH($E$1*B489*86.4/$G$1)</f>
        <v>45257.7741901358</v>
      </c>
      <c r="D489" s="0" t="n">
        <f aca="false">C489-$C$3-B489</f>
        <v>167.774190135802</v>
      </c>
      <c r="E489" s="0" t="n">
        <f aca="false">$E$1*B489*86.4</f>
        <v>411925.824</v>
      </c>
      <c r="F489" s="0" t="n">
        <f aca="false">$G$1*G489</f>
        <v>263818.082049432</v>
      </c>
      <c r="G489" s="0" t="n">
        <f aca="false">TANH($E$1*B489*86.4/$G$1)</f>
        <v>0.879393606831441</v>
      </c>
      <c r="H489" s="0" t="n">
        <f aca="false">COSH($E$1*B489*86.4/$G$1)</f>
        <v>2.10041911785349</v>
      </c>
      <c r="I489" s="0" t="n">
        <f aca="false">(($G$1^2*1000)/($E$1*$I$1))*(H489-1)</f>
        <v>1.06709667651657</v>
      </c>
      <c r="J489" s="0" t="n">
        <f aca="false">$J$3*EXP(-$E$1*B489*86.4/$G$1)</f>
        <v>253.323973946596</v>
      </c>
      <c r="K489" s="0" t="n">
        <f aca="false">J488-J489</f>
        <v>0.716723152152838</v>
      </c>
    </row>
    <row r="490" customFormat="false" ht="12.8" hidden="false" customHeight="false" outlineLevel="0" collapsed="false">
      <c r="A490" s="0" t="n">
        <v>1</v>
      </c>
      <c r="B490" s="0" t="n">
        <f aca="false">B489+A490</f>
        <v>487</v>
      </c>
      <c r="C490" s="0" t="n">
        <f aca="false">$C$3+($G$1/($E$1*86.4))*SINH($E$1*B490*86.4/$G$1)</f>
        <v>45259.8772213302</v>
      </c>
      <c r="D490" s="0" t="n">
        <f aca="false">C490-$C$3-B490</f>
        <v>168.877221330207</v>
      </c>
      <c r="E490" s="0" t="n">
        <f aca="false">$E$1*B490*86.4</f>
        <v>412773.408</v>
      </c>
      <c r="F490" s="0" t="n">
        <f aca="false">$G$1*G490</f>
        <v>264009.724621627</v>
      </c>
      <c r="G490" s="0" t="n">
        <f aca="false">TANH($E$1*B490*86.4/$G$1)</f>
        <v>0.880032415405423</v>
      </c>
      <c r="H490" s="0" t="n">
        <f aca="false">COSH($E$1*B490*86.4/$G$1)</f>
        <v>2.10564606876002</v>
      </c>
      <c r="I490" s="0" t="n">
        <f aca="false">(($G$1^2*1000)/($E$1*$I$1))*(H490-1)</f>
        <v>1.07216534703509</v>
      </c>
      <c r="J490" s="0" t="n">
        <f aca="false">$J$3*EXP(-$E$1*B490*86.4/$G$1)</f>
        <v>252.609272880206</v>
      </c>
      <c r="K490" s="0" t="n">
        <f aca="false">J489-J490</f>
        <v>0.714701066389807</v>
      </c>
    </row>
    <row r="491" customFormat="false" ht="12.8" hidden="false" customHeight="false" outlineLevel="0" collapsed="false">
      <c r="A491" s="0" t="n">
        <v>1</v>
      </c>
      <c r="B491" s="0" t="n">
        <f aca="false">B490+A491</f>
        <v>488</v>
      </c>
      <c r="C491" s="0" t="n">
        <f aca="false">$C$3+($G$1/($E$1*86.4))*SINH($E$1*B491*86.4/$G$1)</f>
        <v>45261.9854878759</v>
      </c>
      <c r="D491" s="0" t="n">
        <f aca="false">C491-$C$3-B491</f>
        <v>169.985487875892</v>
      </c>
      <c r="E491" s="0" t="n">
        <f aca="false">$E$1*B491*86.4</f>
        <v>413620.992</v>
      </c>
      <c r="F491" s="0" t="n">
        <f aca="false">$G$1*G491</f>
        <v>264200.416583477</v>
      </c>
      <c r="G491" s="0" t="n">
        <f aca="false">TANH($E$1*B491*86.4/$G$1)</f>
        <v>0.880668055278257</v>
      </c>
      <c r="H491" s="0" t="n">
        <f aca="false">COSH($E$1*B491*86.4/$G$1)</f>
        <v>2.11088982738069</v>
      </c>
      <c r="I491" s="0" t="n">
        <f aca="false">(($G$1^2*1000)/($E$1*$I$1))*(H491-1)</f>
        <v>1.07725031630342</v>
      </c>
      <c r="J491" s="0" t="n">
        <f aca="false">$J$3*EXP(-$E$1*B491*86.4/$G$1)</f>
        <v>251.896588194683</v>
      </c>
      <c r="K491" s="0" t="n">
        <f aca="false">J490-J491</f>
        <v>0.712684685522561</v>
      </c>
    </row>
    <row r="492" customFormat="false" ht="12.8" hidden="false" customHeight="false" outlineLevel="0" collapsed="false">
      <c r="A492" s="0" t="n">
        <v>1</v>
      </c>
      <c r="B492" s="0" t="n">
        <f aca="false">B491+A492</f>
        <v>489</v>
      </c>
      <c r="C492" s="0" t="n">
        <f aca="false">$C$3+($G$1/($E$1*86.4))*SINH($E$1*B492*86.4/$G$1)</f>
        <v>45264.0990066015</v>
      </c>
      <c r="D492" s="0" t="n">
        <f aca="false">C492-$C$3-B492</f>
        <v>171.099006601493</v>
      </c>
      <c r="E492" s="0" t="n">
        <f aca="false">$E$1*B492*86.4</f>
        <v>414468.576</v>
      </c>
      <c r="F492" s="0" t="n">
        <f aca="false">$G$1*G492</f>
        <v>264390.161968807</v>
      </c>
      <c r="G492" s="0" t="n">
        <f aca="false">TANH($E$1*B492*86.4/$G$1)</f>
        <v>0.881300539896023</v>
      </c>
      <c r="H492" s="0" t="n">
        <f aca="false">COSH($E$1*B492*86.4/$G$1)</f>
        <v>2.1161504355723</v>
      </c>
      <c r="I492" s="0" t="n">
        <f aca="false">(($G$1^2*1000)/($E$1*$I$1))*(H492-1)</f>
        <v>1.08235162491088</v>
      </c>
      <c r="J492" s="0" t="n">
        <f aca="false">$J$3*EXP(-$E$1*B492*86.4/$G$1)</f>
        <v>251.185914201228</v>
      </c>
      <c r="K492" s="0" t="n">
        <f aca="false">J491-J492</f>
        <v>0.710673993455686</v>
      </c>
    </row>
    <row r="493" customFormat="false" ht="12.8" hidden="false" customHeight="false" outlineLevel="0" collapsed="false">
      <c r="A493" s="0" t="n">
        <v>1</v>
      </c>
      <c r="B493" s="0" t="n">
        <f aca="false">B492+A493</f>
        <v>490</v>
      </c>
      <c r="C493" s="0" t="n">
        <f aca="false">$C$3+($G$1/($E$1*86.4))*SINH($E$1*B493*86.4/$G$1)</f>
        <v>45266.2177943776</v>
      </c>
      <c r="D493" s="0" t="n">
        <f aca="false">C493-$C$3-B493</f>
        <v>172.217794377561</v>
      </c>
      <c r="E493" s="0" t="n">
        <f aca="false">$E$1*B493*86.4</f>
        <v>415316.16</v>
      </c>
      <c r="F493" s="0" t="n">
        <f aca="false">$G$1*G493</f>
        <v>264578.964801567</v>
      </c>
      <c r="G493" s="0" t="n">
        <f aca="false">TANH($E$1*B493*86.4/$G$1)</f>
        <v>0.881929882671889</v>
      </c>
      <c r="H493" s="0" t="n">
        <f aca="false">COSH($E$1*B493*86.4/$G$1)</f>
        <v>2.12142793532612</v>
      </c>
      <c r="I493" s="0" t="n">
        <f aca="false">(($G$1^2*1000)/($E$1*$I$1))*(H493-1)</f>
        <v>1.08746931357718</v>
      </c>
      <c r="J493" s="0" t="n">
        <f aca="false">$J$3*EXP(-$E$1*B493*86.4/$G$1)</f>
        <v>250.477245227088</v>
      </c>
      <c r="K493" s="0" t="n">
        <f aca="false">J492-J493</f>
        <v>0.708668974139698</v>
      </c>
    </row>
    <row r="494" customFormat="false" ht="12.8" hidden="false" customHeight="false" outlineLevel="0" collapsed="false">
      <c r="A494" s="0" t="n">
        <v>1</v>
      </c>
      <c r="B494" s="0" t="n">
        <f aca="false">B493+A494</f>
        <v>491</v>
      </c>
      <c r="C494" s="0" t="n">
        <f aca="false">$C$3+($G$1/($E$1*86.4))*SINH($E$1*B494*86.4/$G$1)</f>
        <v>45268.3418681167</v>
      </c>
      <c r="D494" s="0" t="n">
        <f aca="false">C494-$C$3-B494</f>
        <v>173.34186811671</v>
      </c>
      <c r="E494" s="0" t="n">
        <f aca="false">$E$1*B494*86.4</f>
        <v>416163.744</v>
      </c>
      <c r="F494" s="0" t="n">
        <f aca="false">$G$1*G494</f>
        <v>264766.829095773</v>
      </c>
      <c r="G494" s="0" t="n">
        <f aca="false">TANH($E$1*B494*86.4/$G$1)</f>
        <v>0.88255609698591</v>
      </c>
      <c r="H494" s="0" t="n">
        <f aca="false">COSH($E$1*B494*86.4/$G$1)</f>
        <v>2.12672236876829</v>
      </c>
      <c r="I494" s="0" t="n">
        <f aca="false">(($G$1^2*1000)/($E$1*$I$1))*(H494-1)</f>
        <v>1.09260342315281</v>
      </c>
      <c r="J494" s="0" t="n">
        <f aca="false">$J$3*EXP(-$E$1*B494*86.4/$G$1)</f>
        <v>249.770575615518</v>
      </c>
      <c r="K494" s="0" t="n">
        <f aca="false">J493-J494</f>
        <v>0.706669611569822</v>
      </c>
    </row>
    <row r="495" customFormat="false" ht="12.8" hidden="false" customHeight="false" outlineLevel="0" collapsed="false">
      <c r="A495" s="0" t="n">
        <v>1</v>
      </c>
      <c r="B495" s="0" t="n">
        <f aca="false">B494+A495</f>
        <v>492</v>
      </c>
      <c r="C495" s="0" t="n">
        <f aca="false">$C$3+($G$1/($E$1*86.4))*SINH($E$1*B495*86.4/$G$1)</f>
        <v>45270.4712447738</v>
      </c>
      <c r="D495" s="0" t="n">
        <f aca="false">C495-$C$3-B495</f>
        <v>174.471244773747</v>
      </c>
      <c r="E495" s="0" t="n">
        <f aca="false">$E$1*B495*86.4</f>
        <v>417011.328</v>
      </c>
      <c r="F495" s="0" t="n">
        <f aca="false">$G$1*G495</f>
        <v>264953.758855453</v>
      </c>
      <c r="G495" s="0" t="n">
        <f aca="false">TANH($E$1*B495*86.4/$G$1)</f>
        <v>0.883179196184842</v>
      </c>
      <c r="H495" s="0" t="n">
        <f aca="false">COSH($E$1*B495*86.4/$G$1)</f>
        <v>2.1320337781601</v>
      </c>
      <c r="I495" s="0" t="n">
        <f aca="false">(($G$1^2*1000)/($E$1*$I$1))*(H495-1)</f>
        <v>1.09775399461932</v>
      </c>
      <c r="J495" s="0" t="n">
        <f aca="false">$J$3*EXP(-$E$1*B495*86.4/$G$1)</f>
        <v>249.065899725731</v>
      </c>
      <c r="K495" s="0" t="n">
        <f aca="false">J494-J495</f>
        <v>0.704675889787097</v>
      </c>
    </row>
    <row r="496" customFormat="false" ht="12.8" hidden="false" customHeight="false" outlineLevel="0" collapsed="false">
      <c r="A496" s="0" t="n">
        <v>1</v>
      </c>
      <c r="B496" s="0" t="n">
        <f aca="false">B495+A496</f>
        <v>493</v>
      </c>
      <c r="C496" s="0" t="n">
        <f aca="false">$C$3+($G$1/($E$1*86.4))*SINH($E$1*B496*86.4/$G$1)</f>
        <v>45272.6059413458</v>
      </c>
      <c r="D496" s="0" t="n">
        <f aca="false">C496-$C$3-B496</f>
        <v>175.605941345806</v>
      </c>
      <c r="E496" s="0" t="n">
        <f aca="false">$E$1*B496*86.4</f>
        <v>417858.912</v>
      </c>
      <c r="F496" s="0" t="n">
        <f aca="false">$G$1*G496</f>
        <v>265139.758074584</v>
      </c>
      <c r="G496" s="0" t="n">
        <f aca="false">TANH($E$1*B496*86.4/$G$1)</f>
        <v>0.883799193581948</v>
      </c>
      <c r="H496" s="0" t="n">
        <f aca="false">COSH($E$1*B496*86.4/$G$1)</f>
        <v>2.13736220589834</v>
      </c>
      <c r="I496" s="0" t="n">
        <f aca="false">(($G$1^2*1000)/($E$1*$I$1))*(H496-1)</f>
        <v>1.10292106908966</v>
      </c>
      <c r="J496" s="0" t="n">
        <f aca="false">$J$3*EXP(-$E$1*B496*86.4/$G$1)</f>
        <v>248.363211932854</v>
      </c>
      <c r="K496" s="0" t="n">
        <f aca="false">J495-J496</f>
        <v>0.702687792876759</v>
      </c>
    </row>
    <row r="497" customFormat="false" ht="12.8" hidden="false" customHeight="false" outlineLevel="0" collapsed="false">
      <c r="A497" s="0" t="n">
        <v>1</v>
      </c>
      <c r="B497" s="0" t="n">
        <f aca="false">B496+A497</f>
        <v>494</v>
      </c>
      <c r="C497" s="0" t="n">
        <f aca="false">$C$3+($G$1/($E$1*86.4))*SINH($E$1*B497*86.4/$G$1)</f>
        <v>45274.7459748725</v>
      </c>
      <c r="D497" s="0" t="n">
        <f aca="false">C497-$C$3-B497</f>
        <v>176.745974872501</v>
      </c>
      <c r="E497" s="0" t="n">
        <f aca="false">$E$1*B497*86.4</f>
        <v>418706.496</v>
      </c>
      <c r="F497" s="0" t="n">
        <f aca="false">$G$1*G497</f>
        <v>265324.830737046</v>
      </c>
      <c r="G497" s="0" t="n">
        <f aca="false">TANH($E$1*B497*86.4/$G$1)</f>
        <v>0.884416102456819</v>
      </c>
      <c r="H497" s="0" t="n">
        <f aca="false">COSH($E$1*B497*86.4/$G$1)</f>
        <v>2.14270769451566</v>
      </c>
      <c r="I497" s="0" t="n">
        <f aca="false">(($G$1^2*1000)/($E$1*$I$1))*(H497-1)</f>
        <v>1.10810468780853</v>
      </c>
      <c r="J497" s="0" t="n">
        <f aca="false">$J$3*EXP(-$E$1*B497*86.4/$G$1)</f>
        <v>247.662506627884</v>
      </c>
      <c r="K497" s="0" t="n">
        <f aca="false">J496-J497</f>
        <v>0.70070530496983</v>
      </c>
    </row>
    <row r="498" customFormat="false" ht="12.8" hidden="false" customHeight="false" outlineLevel="0" collapsed="false">
      <c r="A498" s="0" t="n">
        <v>1</v>
      </c>
      <c r="B498" s="0" t="n">
        <f aca="false">B497+A498</f>
        <v>495</v>
      </c>
      <c r="C498" s="0" t="n">
        <f aca="false">$C$3+($G$1/($E$1*86.4))*SINH($E$1*B498*86.4/$G$1)</f>
        <v>45276.891362436</v>
      </c>
      <c r="D498" s="0" t="n">
        <f aca="false">C498-$C$3-B498</f>
        <v>177.891362436021</v>
      </c>
      <c r="E498" s="0" t="n">
        <f aca="false">$E$1*B498*86.4</f>
        <v>419554.08</v>
      </c>
      <c r="F498" s="0" t="n">
        <f aca="false">$G$1*G498</f>
        <v>265508.980816558</v>
      </c>
      <c r="G498" s="0" t="n">
        <f aca="false">TANH($E$1*B498*86.4/$G$1)</f>
        <v>0.885029936055192</v>
      </c>
      <c r="H498" s="0" t="n">
        <f aca="false">COSH($E$1*B498*86.4/$G$1)</f>
        <v>2.14807028668088</v>
      </c>
      <c r="I498" s="0" t="n">
        <f aca="false">(($G$1^2*1000)/($E$1*$I$1))*(H498-1)</f>
        <v>1.11330489215265</v>
      </c>
      <c r="J498" s="0" t="n">
        <f aca="false">$J$3*EXP(-$E$1*B498*86.4/$G$1)</f>
        <v>246.963778217643</v>
      </c>
      <c r="K498" s="0" t="n">
        <f aca="false">J497-J498</f>
        <v>0.69872841024133</v>
      </c>
    </row>
    <row r="499" customFormat="false" ht="12.8" hidden="false" customHeight="false" outlineLevel="0" collapsed="false">
      <c r="A499" s="0" t="n">
        <v>1</v>
      </c>
      <c r="B499" s="0" t="n">
        <f aca="false">B498+A499</f>
        <v>496</v>
      </c>
      <c r="C499" s="0" t="n">
        <f aca="false">$C$3+($G$1/($E$1*86.4))*SINH($E$1*B499*86.4/$G$1)</f>
        <v>45279.0421211613</v>
      </c>
      <c r="D499" s="0" t="n">
        <f aca="false">C499-$C$3-B499</f>
        <v>179.042121161314</v>
      </c>
      <c r="E499" s="0" t="n">
        <f aca="false">$E$1*B499*86.4</f>
        <v>420401.664</v>
      </c>
      <c r="F499" s="0" t="n">
        <f aca="false">$G$1*G499</f>
        <v>265692.212276633</v>
      </c>
      <c r="G499" s="0" t="n">
        <f aca="false">TANH($E$1*B499*86.4/$G$1)</f>
        <v>0.885640707588776</v>
      </c>
      <c r="H499" s="0" t="n">
        <f aca="false">COSH($E$1*B499*86.4/$G$1)</f>
        <v>2.15345002519936</v>
      </c>
      <c r="I499" s="0" t="n">
        <f aca="false">(($G$1^2*1000)/($E$1*$I$1))*(H499-1)</f>
        <v>1.11852172363118</v>
      </c>
      <c r="J499" s="0" t="n">
        <f aca="false">$J$3*EXP(-$E$1*B499*86.4/$G$1)</f>
        <v>246.267021124732</v>
      </c>
      <c r="K499" s="0" t="n">
        <f aca="false">J498-J499</f>
        <v>0.696757092911497</v>
      </c>
    </row>
    <row r="500" customFormat="false" ht="12.8" hidden="false" customHeight="false" outlineLevel="0" collapsed="false">
      <c r="A500" s="0" t="n">
        <v>1</v>
      </c>
      <c r="B500" s="0" t="n">
        <f aca="false">B499+A500</f>
        <v>497</v>
      </c>
      <c r="C500" s="0" t="n">
        <f aca="false">$C$3+($G$1/($E$1*86.4))*SINH($E$1*B500*86.4/$G$1)</f>
        <v>45281.1982682162</v>
      </c>
      <c r="D500" s="0" t="n">
        <f aca="false">C500-$C$3-B500</f>
        <v>180.198268216183</v>
      </c>
      <c r="E500" s="0" t="n">
        <f aca="false">$E$1*B500*86.4</f>
        <v>421249.248</v>
      </c>
      <c r="F500" s="0" t="n">
        <f aca="false">$G$1*G500</f>
        <v>265874.529070523</v>
      </c>
      <c r="G500" s="0" t="n">
        <f aca="false">TANH($E$1*B500*86.4/$G$1)</f>
        <v>0.886248430235076</v>
      </c>
      <c r="H500" s="0" t="n">
        <f aca="false">COSH($E$1*B500*86.4/$G$1)</f>
        <v>2.1588469530133</v>
      </c>
      <c r="I500" s="0" t="n">
        <f aca="false">(($G$1^2*1000)/($E$1*$I$1))*(H500-1)</f>
        <v>1.12375522388597</v>
      </c>
      <c r="J500" s="0" t="n">
        <f aca="false">$J$3*EXP(-$E$1*B500*86.4/$G$1)</f>
        <v>245.572229787487</v>
      </c>
      <c r="K500" s="0" t="n">
        <f aca="false">J499-J500</f>
        <v>0.694791337244709</v>
      </c>
    </row>
    <row r="501" customFormat="false" ht="12.8" hidden="false" customHeight="false" outlineLevel="0" collapsed="false">
      <c r="A501" s="0" t="n">
        <v>1</v>
      </c>
      <c r="B501" s="0" t="n">
        <f aca="false">B500+A501</f>
        <v>498</v>
      </c>
      <c r="C501" s="0" t="n">
        <f aca="false">$C$3+($G$1/($E$1*86.4))*SINH($E$1*B501*86.4/$G$1)</f>
        <v>45283.3598208115</v>
      </c>
      <c r="D501" s="0" t="n">
        <f aca="false">C501-$C$3-B501</f>
        <v>181.359820811464</v>
      </c>
      <c r="E501" s="0" t="n">
        <f aca="false">$E$1*B501*86.4</f>
        <v>422096.832</v>
      </c>
      <c r="F501" s="0" t="n">
        <f aca="false">$G$1*G501</f>
        <v>266055.935141168</v>
      </c>
      <c r="G501" s="0" t="n">
        <f aca="false">TANH($E$1*B501*86.4/$G$1)</f>
        <v>0.886853117137227</v>
      </c>
      <c r="H501" s="0" t="n">
        <f aca="false">COSH($E$1*B501*86.4/$G$1)</f>
        <v>2.16426111320214</v>
      </c>
      <c r="I501" s="0" t="n">
        <f aca="false">(($G$1^2*1000)/($E$1*$I$1))*(H501-1)</f>
        <v>1.12900543469193</v>
      </c>
      <c r="J501" s="0" t="n">
        <f aca="false">$J$3*EXP(-$E$1*B501*86.4/$G$1)</f>
        <v>244.879398659937</v>
      </c>
      <c r="K501" s="0" t="n">
        <f aca="false">J500-J501</f>
        <v>0.692831127549908</v>
      </c>
    </row>
    <row r="502" customFormat="false" ht="12.8" hidden="false" customHeight="false" outlineLevel="0" collapsed="false">
      <c r="A502" s="0" t="n">
        <v>1</v>
      </c>
      <c r="B502" s="0" t="n">
        <f aca="false">B501+A502</f>
        <v>499</v>
      </c>
      <c r="C502" s="0" t="n">
        <f aca="false">$C$3+($G$1/($E$1*86.4))*SINH($E$1*B502*86.4/$G$1)</f>
        <v>45285.5267962011</v>
      </c>
      <c r="D502" s="0" t="n">
        <f aca="false">C502-$C$3-B502</f>
        <v>182.526796201113</v>
      </c>
      <c r="E502" s="0" t="n">
        <f aca="false">$E$1*B502*86.4</f>
        <v>422944.416</v>
      </c>
      <c r="F502" s="0" t="n">
        <f aca="false">$G$1*G502</f>
        <v>266236.434421149</v>
      </c>
      <c r="G502" s="0" t="n">
        <f aca="false">TANH($E$1*B502*86.4/$G$1)</f>
        <v>0.88745478140383</v>
      </c>
      <c r="H502" s="0" t="n">
        <f aca="false">COSH($E$1*B502*86.4/$G$1)</f>
        <v>2.16969254898285</v>
      </c>
      <c r="I502" s="0" t="n">
        <f aca="false">(($G$1^2*1000)/($E$1*$I$1))*(H502-1)</f>
        <v>1.13427239795735</v>
      </c>
      <c r="J502" s="0" t="n">
        <f aca="false">$J$3*EXP(-$E$1*B502*86.4/$G$1)</f>
        <v>244.188522211757</v>
      </c>
      <c r="K502" s="0" t="n">
        <f aca="false">J501-J502</f>
        <v>0.690876448180291</v>
      </c>
    </row>
    <row r="503" customFormat="false" ht="12.8" hidden="false" customHeight="false" outlineLevel="0" collapsed="false">
      <c r="A503" s="0" t="n">
        <v>1</v>
      </c>
      <c r="B503" s="0" t="n">
        <f aca="false">B502+A503</f>
        <v>500</v>
      </c>
      <c r="C503" s="0" t="n">
        <f aca="false">$C$3+($G$1/($E$1*86.4))*SINH($E$1*B503*86.4/$G$1)</f>
        <v>45287.6992116824</v>
      </c>
      <c r="D503" s="0" t="n">
        <f aca="false">C503-$C$3-B503</f>
        <v>183.699211682404</v>
      </c>
      <c r="E503" s="0" t="n">
        <f aca="false">$E$1*B503*86.4</f>
        <v>423792</v>
      </c>
      <c r="F503" s="0" t="n">
        <f aca="false">$G$1*G503</f>
        <v>266416.030832636</v>
      </c>
      <c r="G503" s="0" t="n">
        <f aca="false">TANH($E$1*B503*86.4/$G$1)</f>
        <v>0.888053436108786</v>
      </c>
      <c r="H503" s="0" t="n">
        <f aca="false">COSH($E$1*B503*86.4/$G$1)</f>
        <v>2.17514130371029</v>
      </c>
      <c r="I503" s="0" t="n">
        <f aca="false">(($G$1^2*1000)/($E$1*$I$1))*(H503-1)</f>
        <v>1.13955615572426</v>
      </c>
      <c r="J503" s="0" t="n">
        <f aca="false">$J$3*EXP(-$E$1*B503*86.4/$G$1)</f>
        <v>243.499594928223</v>
      </c>
      <c r="K503" s="0" t="n">
        <f aca="false">J502-J503</f>
        <v>0.688927283533275</v>
      </c>
    </row>
    <row r="504" customFormat="false" ht="12.8" hidden="false" customHeight="false" outlineLevel="0" collapsed="false">
      <c r="A504" s="0" t="n">
        <v>1</v>
      </c>
      <c r="B504" s="0" t="n">
        <f aca="false">B503+A504</f>
        <v>501</v>
      </c>
      <c r="C504" s="0" t="n">
        <f aca="false">$C$3+($G$1/($E$1*86.4))*SINH($E$1*B504*86.4/$G$1)</f>
        <v>45289.877084596</v>
      </c>
      <c r="D504" s="0" t="n">
        <f aca="false">C504-$C$3-B504</f>
        <v>184.877084596017</v>
      </c>
      <c r="E504" s="0" t="n">
        <f aca="false">$E$1*B504*86.4</f>
        <v>424639.584</v>
      </c>
      <c r="F504" s="0" t="n">
        <f aca="false">$G$1*G504</f>
        <v>266594.728287343</v>
      </c>
      <c r="G504" s="0" t="n">
        <f aca="false">TANH($E$1*B504*86.4/$G$1)</f>
        <v>0.888649094291144</v>
      </c>
      <c r="H504" s="0" t="n">
        <f aca="false">COSH($E$1*B504*86.4/$G$1)</f>
        <v>2.1806074208776</v>
      </c>
      <c r="I504" s="0" t="n">
        <f aca="false">(($G$1^2*1000)/($E$1*$I$1))*(H504-1)</f>
        <v>1.14485675016873</v>
      </c>
      <c r="J504" s="0" t="n">
        <f aca="false">$J$3*EXP(-$E$1*B504*86.4/$G$1)</f>
        <v>242.812611310173</v>
      </c>
      <c r="K504" s="0" t="n">
        <f aca="false">J503-J504</f>
        <v>0.686983618050306</v>
      </c>
    </row>
    <row r="505" customFormat="false" ht="12.8" hidden="false" customHeight="false" outlineLevel="0" collapsed="false">
      <c r="A505" s="0" t="n">
        <v>1</v>
      </c>
      <c r="B505" s="0" t="n">
        <f aca="false">B504+A505</f>
        <v>502</v>
      </c>
      <c r="C505" s="0" t="n">
        <f aca="false">$C$3+($G$1/($E$1*86.4))*SINH($E$1*B505*86.4/$G$1)</f>
        <v>45292.0604323262</v>
      </c>
      <c r="D505" s="0" t="n">
        <f aca="false">C505-$C$3-B505</f>
        <v>186.060432326187</v>
      </c>
      <c r="E505" s="0" t="n">
        <f aca="false">$E$1*B505*86.4</f>
        <v>425487.168</v>
      </c>
      <c r="F505" s="0" t="n">
        <f aca="false">$G$1*G505</f>
        <v>266772.530686483</v>
      </c>
      <c r="G505" s="0" t="n">
        <f aca="false">TANH($E$1*B505*86.4/$G$1)</f>
        <v>0.889241768954944</v>
      </c>
      <c r="H505" s="0" t="n">
        <f aca="false">COSH($E$1*B505*86.4/$G$1)</f>
        <v>2.18609094411648</v>
      </c>
      <c r="I505" s="0" t="n">
        <f aca="false">(($G$1^2*1000)/($E$1*$I$1))*(H505-1)</f>
        <v>1.15017422360124</v>
      </c>
      <c r="J505" s="0" t="n">
        <f aca="false">$J$3*EXP(-$E$1*B505*86.4/$G$1)</f>
        <v>242.127565873957</v>
      </c>
      <c r="K505" s="0" t="n">
        <f aca="false">J504-J505</f>
        <v>0.685045436216171</v>
      </c>
    </row>
    <row r="506" customFormat="false" ht="12.8" hidden="false" customHeight="false" outlineLevel="0" collapsed="false">
      <c r="A506" s="0" t="n">
        <v>1</v>
      </c>
      <c r="B506" s="0" t="n">
        <f aca="false">B505+A506</f>
        <v>503</v>
      </c>
      <c r="C506" s="0" t="n">
        <f aca="false">$C$3+($G$1/($E$1*86.4))*SINH($E$1*B506*86.4/$G$1)</f>
        <v>45294.2492723009</v>
      </c>
      <c r="D506" s="0" t="n">
        <f aca="false">C506-$C$3-B506</f>
        <v>187.249272300862</v>
      </c>
      <c r="E506" s="0" t="n">
        <f aca="false">$E$1*B506*86.4</f>
        <v>426334.752</v>
      </c>
      <c r="F506" s="0" t="n">
        <f aca="false">$G$1*G506</f>
        <v>266949.44192072</v>
      </c>
      <c r="G506" s="0" t="n">
        <f aca="false">TANH($E$1*B506*86.4/$G$1)</f>
        <v>0.889831473069067</v>
      </c>
      <c r="H506" s="0" t="n">
        <f aca="false">COSH($E$1*B506*86.4/$G$1)</f>
        <v>2.19159191719757</v>
      </c>
      <c r="I506" s="0" t="n">
        <f aca="false">(($G$1^2*1000)/($E$1*$I$1))*(H506-1)</f>
        <v>1.15550861846698</v>
      </c>
      <c r="J506" s="0" t="n">
        <f aca="false">$J$3*EXP(-$E$1*B506*86.4/$G$1)</f>
        <v>241.444453151396</v>
      </c>
      <c r="K506" s="0" t="n">
        <f aca="false">J505-J506</f>
        <v>0.683112722560452</v>
      </c>
    </row>
    <row r="507" customFormat="false" ht="12.8" hidden="false" customHeight="false" outlineLevel="0" collapsed="false">
      <c r="A507" s="0" t="n">
        <v>1</v>
      </c>
      <c r="B507" s="0" t="n">
        <f aca="false">B506+A507</f>
        <v>504</v>
      </c>
      <c r="C507" s="0" t="n">
        <f aca="false">$C$3+($G$1/($E$1*86.4))*SINH($E$1*B507*86.4/$G$1)</f>
        <v>45296.4436219918</v>
      </c>
      <c r="D507" s="0" t="n">
        <f aca="false">C507-$C$3-B507</f>
        <v>188.443621991828</v>
      </c>
      <c r="E507" s="0" t="n">
        <f aca="false">$E$1*B507*86.4</f>
        <v>427182.336</v>
      </c>
      <c r="F507" s="0" t="n">
        <f aca="false">$G$1*G507</f>
        <v>267125.465870126</v>
      </c>
      <c r="G507" s="0" t="n">
        <f aca="false">TANH($E$1*B507*86.4/$G$1)</f>
        <v>0.890418219567086</v>
      </c>
      <c r="H507" s="0" t="n">
        <f aca="false">COSH($E$1*B507*86.4/$G$1)</f>
        <v>2.19711038403082</v>
      </c>
      <c r="I507" s="0" t="n">
        <f aca="false">(($G$1^2*1000)/($E$1*$I$1))*(H507-1)</f>
        <v>1.16085997734623</v>
      </c>
      <c r="J507" s="0" t="n">
        <f aca="false">$J$3*EXP(-$E$1*B507*86.4/$G$1)</f>
        <v>240.763267689741</v>
      </c>
      <c r="K507" s="0" t="n">
        <f aca="false">J506-J507</f>
        <v>0.681185461655531</v>
      </c>
    </row>
    <row r="508" customFormat="false" ht="12.8" hidden="false" customHeight="false" outlineLevel="0" collapsed="false">
      <c r="A508" s="0" t="n">
        <v>1</v>
      </c>
      <c r="B508" s="0" t="n">
        <f aca="false">B507+A508</f>
        <v>505</v>
      </c>
      <c r="C508" s="0" t="n">
        <f aca="false">$C$3+($G$1/($E$1*86.4))*SINH($E$1*B508*86.4/$G$1)</f>
        <v>45298.6434989149</v>
      </c>
      <c r="D508" s="0" t="n">
        <f aca="false">C508-$C$3-B508</f>
        <v>189.643498914855</v>
      </c>
      <c r="E508" s="0" t="n">
        <f aca="false">$E$1*B508*86.4</f>
        <v>428029.92</v>
      </c>
      <c r="F508" s="0" t="n">
        <f aca="false">$G$1*G508</f>
        <v>267300.606404138</v>
      </c>
      <c r="G508" s="0" t="n">
        <f aca="false">TANH($E$1*B508*86.4/$G$1)</f>
        <v>0.891002021347126</v>
      </c>
      <c r="H508" s="0" t="n">
        <f aca="false">COSH($E$1*B508*86.4/$G$1)</f>
        <v>2.20264638866578</v>
      </c>
      <c r="I508" s="0" t="n">
        <f aca="false">(($G$1^2*1000)/($E$1*$I$1))*(H508-1)</f>
        <v>1.16622834295467</v>
      </c>
      <c r="J508" s="0" t="n">
        <f aca="false">$J$3*EXP(-$E$1*B508*86.4/$G$1)</f>
        <v>240.084004051623</v>
      </c>
      <c r="K508" s="0" t="n">
        <f aca="false">J507-J508</f>
        <v>0.679263638117476</v>
      </c>
    </row>
    <row r="509" customFormat="false" ht="12.8" hidden="false" customHeight="false" outlineLevel="0" collapsed="false">
      <c r="A509" s="0" t="n">
        <v>1</v>
      </c>
      <c r="B509" s="0" t="n">
        <f aca="false">B508+A509</f>
        <v>506</v>
      </c>
      <c r="C509" s="0" t="n">
        <f aca="false">$C$3+($G$1/($E$1*86.4))*SINH($E$1*B509*86.4/$G$1)</f>
        <v>45300.8489206298</v>
      </c>
      <c r="D509" s="0" t="n">
        <f aca="false">C509-$C$3-B509</f>
        <v>190.848920629825</v>
      </c>
      <c r="E509" s="0" t="n">
        <f aca="false">$E$1*B509*86.4</f>
        <v>428877.504</v>
      </c>
      <c r="F509" s="0" t="n">
        <f aca="false">$G$1*G509</f>
        <v>267474.867381517</v>
      </c>
      <c r="G509" s="0" t="n">
        <f aca="false">TANH($E$1*B509*86.4/$G$1)</f>
        <v>0.891582891271722</v>
      </c>
      <c r="H509" s="0" t="n">
        <f aca="false">COSH($E$1*B509*86.4/$G$1)</f>
        <v>2.20819997529204</v>
      </c>
      <c r="I509" s="0" t="n">
        <f aca="false">(($G$1^2*1000)/($E$1*$I$1))*(H509-1)</f>
        <v>1.17161375814374</v>
      </c>
      <c r="J509" s="0" t="n">
        <f aca="false">$J$3*EXP(-$E$1*B509*86.4/$G$1)</f>
        <v>239.406656815017</v>
      </c>
      <c r="K509" s="0" t="n">
        <f aca="false">J508-J509</f>
        <v>0.677347236606209</v>
      </c>
    </row>
    <row r="510" customFormat="false" ht="12.8" hidden="false" customHeight="false" outlineLevel="0" collapsed="false">
      <c r="A510" s="0" t="n">
        <v>1</v>
      </c>
      <c r="B510" s="0" t="n">
        <f aca="false">B509+A510</f>
        <v>507</v>
      </c>
      <c r="C510" s="0" t="n">
        <f aca="false">$C$3+($G$1/($E$1*86.4))*SINH($E$1*B510*86.4/$G$1)</f>
        <v>45303.0599047409</v>
      </c>
      <c r="D510" s="0" t="n">
        <f aca="false">C510-$C$3-B510</f>
        <v>192.059904740876</v>
      </c>
      <c r="E510" s="0" t="n">
        <f aca="false">$E$1*B510*86.4</f>
        <v>429725.088</v>
      </c>
      <c r="F510" s="0" t="n">
        <f aca="false">$G$1*G510</f>
        <v>267648.252650305</v>
      </c>
      <c r="G510" s="0" t="n">
        <f aca="false">TANH($E$1*B510*86.4/$G$1)</f>
        <v>0.892160842167684</v>
      </c>
      <c r="H510" s="0" t="n">
        <f aca="false">COSH($E$1*B510*86.4/$G$1)</f>
        <v>2.2137711882395</v>
      </c>
      <c r="I510" s="0" t="n">
        <f aca="false">(($G$1^2*1000)/($E$1*$I$1))*(H510-1)</f>
        <v>1.17701626590096</v>
      </c>
      <c r="J510" s="0" t="n">
        <f aca="false">$J$3*EXP(-$E$1*B510*86.4/$G$1)</f>
        <v>238.731220573193</v>
      </c>
      <c r="K510" s="0" t="n">
        <f aca="false">J509-J510</f>
        <v>0.6754362418244</v>
      </c>
    </row>
    <row r="511" customFormat="false" ht="12.8" hidden="false" customHeight="false" outlineLevel="0" collapsed="false">
      <c r="A511" s="0" t="n">
        <v>1</v>
      </c>
      <c r="B511" s="0" t="n">
        <f aca="false">B510+A511</f>
        <v>508</v>
      </c>
      <c r="C511" s="0" t="n">
        <f aca="false">$C$3+($G$1/($E$1*86.4))*SINH($E$1*B511*86.4/$G$1)</f>
        <v>45305.2764688966</v>
      </c>
      <c r="D511" s="0" t="n">
        <f aca="false">C511-$C$3-B511</f>
        <v>193.276468896562</v>
      </c>
      <c r="E511" s="0" t="n">
        <f aca="false">$E$1*B511*86.4</f>
        <v>430572.672</v>
      </c>
      <c r="F511" s="0" t="n">
        <f aca="false">$G$1*G511</f>
        <v>267820.766047788</v>
      </c>
      <c r="G511" s="0" t="n">
        <f aca="false">TANH($E$1*B511*86.4/$G$1)</f>
        <v>0.89273588682596</v>
      </c>
      <c r="H511" s="0" t="n">
        <f aca="false">COSH($E$1*B511*86.4/$G$1)</f>
        <v>2.21936007197876</v>
      </c>
      <c r="I511" s="0" t="n">
        <f aca="false">(($G$1^2*1000)/($E$1*$I$1))*(H511-1)</f>
        <v>1.1824359093503</v>
      </c>
      <c r="J511" s="0" t="n">
        <f aca="false">$J$3*EXP(-$E$1*B511*86.4/$G$1)</f>
        <v>238.057689934675</v>
      </c>
      <c r="K511" s="0" t="n">
        <f aca="false">J510-J511</f>
        <v>0.673530638518173</v>
      </c>
    </row>
    <row r="512" customFormat="false" ht="12.8" hidden="false" customHeight="false" outlineLevel="0" collapsed="false">
      <c r="A512" s="0" t="n">
        <v>1</v>
      </c>
      <c r="B512" s="0" t="n">
        <f aca="false">B511+A512</f>
        <v>509</v>
      </c>
      <c r="C512" s="0" t="n">
        <f aca="false">$C$3+($G$1/($E$1*86.4))*SINH($E$1*B512*86.4/$G$1)</f>
        <v>45307.49863079</v>
      </c>
      <c r="D512" s="0" t="n">
        <f aca="false">C512-$C$3-B512</f>
        <v>194.498630789967</v>
      </c>
      <c r="E512" s="0" t="n">
        <f aca="false">$E$1*B512*86.4</f>
        <v>431420.256</v>
      </c>
      <c r="F512" s="0" t="n">
        <f aca="false">$G$1*G512</f>
        <v>267992.411400453</v>
      </c>
      <c r="G512" s="0" t="n">
        <f aca="false">TANH($E$1*B512*86.4/$G$1)</f>
        <v>0.893308038001511</v>
      </c>
      <c r="H512" s="0" t="n">
        <f aca="false">COSH($E$1*B512*86.4/$G$1)</f>
        <v>2.22496667112148</v>
      </c>
      <c r="I512" s="0" t="n">
        <f aca="false">(($G$1^2*1000)/($E$1*$I$1))*(H512-1)</f>
        <v>1.1878727317525</v>
      </c>
      <c r="J512" s="0" t="n">
        <f aca="false">$J$3*EXP(-$E$1*B512*86.4/$G$1)</f>
        <v>237.386059523198</v>
      </c>
      <c r="K512" s="0" t="n">
        <f aca="false">J511-J512</f>
        <v>0.671630411476485</v>
      </c>
    </row>
    <row r="513" customFormat="false" ht="12.8" hidden="false" customHeight="false" outlineLevel="0" collapsed="false">
      <c r="A513" s="0" t="n">
        <v>1</v>
      </c>
      <c r="B513" s="0" t="n">
        <f aca="false">B512+A513</f>
        <v>510</v>
      </c>
      <c r="C513" s="0" t="n">
        <f aca="false">$C$3+($G$1/($E$1*86.4))*SINH($E$1*B513*86.4/$G$1)</f>
        <v>45309.7264081589</v>
      </c>
      <c r="D513" s="0" t="n">
        <f aca="false">C513-$C$3-B513</f>
        <v>195.726408158858</v>
      </c>
      <c r="E513" s="0" t="n">
        <f aca="false">$E$1*B513*86.4</f>
        <v>432267.84</v>
      </c>
      <c r="F513" s="0" t="n">
        <f aca="false">$G$1*G513</f>
        <v>268163.192523954</v>
      </c>
      <c r="G513" s="0" t="n">
        <f aca="false">TANH($E$1*B513*86.4/$G$1)</f>
        <v>0.89387730841318</v>
      </c>
      <c r="H513" s="0" t="n">
        <f aca="false">COSH($E$1*B513*86.4/$G$1)</f>
        <v>2.23059103042072</v>
      </c>
      <c r="I513" s="0" t="n">
        <f aca="false">(($G$1^2*1000)/($E$1*$I$1))*(H513-1)</f>
        <v>1.19332677650543</v>
      </c>
      <c r="J513" s="0" t="n">
        <f aca="false">$J$3*EXP(-$E$1*B513*86.4/$G$1)</f>
        <v>236.716323977667</v>
      </c>
      <c r="K513" s="0" t="n">
        <f aca="false">J512-J513</f>
        <v>0.669735545531438</v>
      </c>
    </row>
    <row r="514" customFormat="false" ht="12.8" hidden="false" customHeight="false" outlineLevel="0" collapsed="false">
      <c r="A514" s="0" t="n">
        <v>1</v>
      </c>
      <c r="B514" s="0" t="n">
        <f aca="false">B513+A514</f>
        <v>511</v>
      </c>
      <c r="C514" s="0" t="n">
        <f aca="false">$C$3+($G$1/($E$1*86.4))*SINH($E$1*B514*86.4/$G$1)</f>
        <v>45311.9598187858</v>
      </c>
      <c r="D514" s="0" t="n">
        <f aca="false">C514-$C$3-B514</f>
        <v>196.959818785828</v>
      </c>
      <c r="E514" s="0" t="n">
        <f aca="false">$E$1*B514*86.4</f>
        <v>433115.424</v>
      </c>
      <c r="F514" s="0" t="n">
        <f aca="false">$G$1*G514</f>
        <v>268333.113223071</v>
      </c>
      <c r="G514" s="0" t="n">
        <f aca="false">TANH($E$1*B514*86.4/$G$1)</f>
        <v>0.894443710743572</v>
      </c>
      <c r="H514" s="0" t="n">
        <f aca="false">COSH($E$1*B514*86.4/$G$1)</f>
        <v>2.23623319477133</v>
      </c>
      <c r="I514" s="0" t="n">
        <f aca="false">(($G$1^2*1000)/($E$1*$I$1))*(H514-1)</f>
        <v>1.19879808714445</v>
      </c>
      <c r="J514" s="0" t="n">
        <f aca="false">$J$3*EXP(-$E$1*B514*86.4/$G$1)</f>
        <v>236.048477952109</v>
      </c>
      <c r="K514" s="0" t="n">
        <f aca="false">J513-J514</f>
        <v>0.667846025557623</v>
      </c>
    </row>
    <row r="515" customFormat="false" ht="12.8" hidden="false" customHeight="false" outlineLevel="0" collapsed="false">
      <c r="A515" s="0" t="n">
        <v>1</v>
      </c>
      <c r="B515" s="0" t="n">
        <f aca="false">B514+A515</f>
        <v>512</v>
      </c>
      <c r="C515" s="0" t="n">
        <f aca="false">$C$3+($G$1/($E$1*86.4))*SINH($E$1*B515*86.4/$G$1)</f>
        <v>45314.1988804984</v>
      </c>
      <c r="D515" s="0" t="n">
        <f aca="false">C515-$C$3-B515</f>
        <v>198.198880498428</v>
      </c>
      <c r="E515" s="0" t="n">
        <f aca="false">$E$1*B515*86.4</f>
        <v>433963.008</v>
      </c>
      <c r="F515" s="0" t="n">
        <f aca="false">$G$1*G515</f>
        <v>268502.17729168</v>
      </c>
      <c r="G515" s="0" t="n">
        <f aca="false">TANH($E$1*B515*86.4/$G$1)</f>
        <v>0.895007257638933</v>
      </c>
      <c r="H515" s="0" t="n">
        <f aca="false">COSH($E$1*B515*86.4/$G$1)</f>
        <v>2.24189320921024</v>
      </c>
      <c r="I515" s="0" t="n">
        <f aca="false">(($G$1^2*1000)/($E$1*$I$1))*(H515-1)</f>
        <v>1.2042867073427</v>
      </c>
      <c r="J515" s="0" t="n">
        <f aca="false">$J$3*EXP(-$E$1*B515*86.4/$G$1)</f>
        <v>235.382516115636</v>
      </c>
      <c r="K515" s="0" t="n">
        <f aca="false">J514-J515</f>
        <v>0.665961836472832</v>
      </c>
    </row>
    <row r="516" customFormat="false" ht="12.8" hidden="false" customHeight="false" outlineLevel="0" collapsed="false">
      <c r="A516" s="0" t="n">
        <v>1</v>
      </c>
      <c r="B516" s="0" t="n">
        <f aca="false">B515+A516</f>
        <v>513</v>
      </c>
      <c r="C516" s="0" t="n">
        <f aca="false">$C$3+($G$1/($E$1*86.4))*SINH($E$1*B516*86.4/$G$1)</f>
        <v>45316.4436111693</v>
      </c>
      <c r="D516" s="0" t="n">
        <f aca="false">C516-$C$3-B516</f>
        <v>199.443611169336</v>
      </c>
      <c r="E516" s="0" t="n">
        <f aca="false">$E$1*B516*86.4</f>
        <v>434810.592</v>
      </c>
      <c r="F516" s="0" t="n">
        <f aca="false">$G$1*G516</f>
        <v>268670.38851271</v>
      </c>
      <c r="G516" s="0" t="n">
        <f aca="false">TANH($E$1*B516*86.4/$G$1)</f>
        <v>0.895567961709034</v>
      </c>
      <c r="H516" s="0" t="n">
        <f aca="false">COSH($E$1*B516*86.4/$G$1)</f>
        <v>2.24757111891689</v>
      </c>
      <c r="I516" s="0" t="n">
        <f aca="false">(($G$1^2*1000)/($E$1*$I$1))*(H516-1)</f>
        <v>1.20979268091153</v>
      </c>
      <c r="J516" s="0" t="n">
        <f aca="false">$J$3*EXP(-$E$1*B516*86.4/$G$1)</f>
        <v>234.7184331524</v>
      </c>
      <c r="K516" s="0" t="n">
        <f aca="false">J515-J516</f>
        <v>0.66408296323678</v>
      </c>
    </row>
    <row r="517" customFormat="false" ht="12.8" hidden="false" customHeight="false" outlineLevel="0" collapsed="false">
      <c r="A517" s="0" t="n">
        <v>1</v>
      </c>
      <c r="B517" s="0" t="n">
        <f aca="false">B516+A517</f>
        <v>514</v>
      </c>
      <c r="C517" s="0" t="n">
        <f aca="false">$C$3+($G$1/($E$1*86.4))*SINH($E$1*B517*86.4/$G$1)</f>
        <v>45318.6940287165</v>
      </c>
      <c r="D517" s="0" t="n">
        <f aca="false">C517-$C$3-B517</f>
        <v>200.694028716454</v>
      </c>
      <c r="E517" s="0" t="n">
        <f aca="false">$E$1*B517*86.4</f>
        <v>435658.176</v>
      </c>
      <c r="F517" s="0" t="n">
        <f aca="false">$G$1*G517</f>
        <v>268837.750658116</v>
      </c>
      <c r="G517" s="0" t="n">
        <f aca="false">TANH($E$1*B517*86.4/$G$1)</f>
        <v>0.896125835527054</v>
      </c>
      <c r="H517" s="0" t="n">
        <f aca="false">COSH($E$1*B517*86.4/$G$1)</f>
        <v>2.25326696921358</v>
      </c>
      <c r="I517" s="0" t="n">
        <f aca="false">(($G$1^2*1000)/($E$1*$I$1))*(H517-1)</f>
        <v>1.21531605180079</v>
      </c>
      <c r="J517" s="0" t="n">
        <f aca="false">$J$3*EXP(-$E$1*B517*86.4/$G$1)</f>
        <v>234.056223761548</v>
      </c>
      <c r="K517" s="0" t="n">
        <f aca="false">J516-J517</f>
        <v>0.662209390851871</v>
      </c>
    </row>
    <row r="518" customFormat="false" ht="12.8" hidden="false" customHeight="false" outlineLevel="0" collapsed="false">
      <c r="A518" s="0" t="n">
        <v>1</v>
      </c>
      <c r="B518" s="0" t="n">
        <f aca="false">B517+A518</f>
        <v>515</v>
      </c>
      <c r="C518" s="0" t="n">
        <f aca="false">$C$3+($G$1/($E$1*86.4))*SINH($E$1*B518*86.4/$G$1)</f>
        <v>45320.9501511031</v>
      </c>
      <c r="D518" s="0" t="n">
        <f aca="false">C518-$C$3-B518</f>
        <v>201.950151103112</v>
      </c>
      <c r="E518" s="0" t="n">
        <f aca="false">$E$1*B518*86.4</f>
        <v>436505.76</v>
      </c>
      <c r="F518" s="0" t="n">
        <f aca="false">$G$1*G518</f>
        <v>269004.267488843</v>
      </c>
      <c r="G518" s="0" t="n">
        <f aca="false">TANH($E$1*B518*86.4/$G$1)</f>
        <v>0.896680891629476</v>
      </c>
      <c r="H518" s="0" t="n">
        <f aca="false">COSH($E$1*B518*86.4/$G$1)</f>
        <v>2.25898080556578</v>
      </c>
      <c r="I518" s="0" t="n">
        <f aca="false">(($G$1^2*1000)/($E$1*$I$1))*(H518-1)</f>
        <v>1.22085686409918</v>
      </c>
      <c r="J518" s="0" t="n">
        <f aca="false">$J$3*EXP(-$E$1*B518*86.4/$G$1)</f>
        <v>233.395882657184</v>
      </c>
      <c r="K518" s="0" t="n">
        <f aca="false">J517-J518</f>
        <v>0.66034110436317</v>
      </c>
    </row>
    <row r="519" customFormat="false" ht="12.8" hidden="false" customHeight="false" outlineLevel="0" collapsed="false">
      <c r="A519" s="0" t="n">
        <v>1</v>
      </c>
      <c r="B519" s="0" t="n">
        <f aca="false">B518+A519</f>
        <v>516</v>
      </c>
      <c r="C519" s="0" t="n">
        <f aca="false">$C$3+($G$1/($E$1*86.4))*SINH($E$1*B519*86.4/$G$1)</f>
        <v>45323.2119963381</v>
      </c>
      <c r="D519" s="0" t="n">
        <f aca="false">C519-$C$3-B519</f>
        <v>203.211996338141</v>
      </c>
      <c r="E519" s="0" t="n">
        <f aca="false">$E$1*B519*86.4</f>
        <v>437353.344</v>
      </c>
      <c r="F519" s="0" t="n">
        <f aca="false">$G$1*G519</f>
        <v>269169.942754792</v>
      </c>
      <c r="G519" s="0" t="n">
        <f aca="false">TANH($E$1*B519*86.4/$G$1)</f>
        <v>0.897233142515973</v>
      </c>
      <c r="H519" s="0" t="n">
        <f aca="false">COSH($E$1*B519*86.4/$G$1)</f>
        <v>2.26471267358255</v>
      </c>
      <c r="I519" s="0" t="n">
        <f aca="false">(($G$1^2*1000)/($E$1*$I$1))*(H519-1)</f>
        <v>1.22641516203466</v>
      </c>
      <c r="J519" s="0" t="n">
        <f aca="false">$J$3*EXP(-$E$1*B519*86.4/$G$1)</f>
        <v>232.737404568327</v>
      </c>
      <c r="K519" s="0" t="n">
        <f aca="false">J518-J519</f>
        <v>0.658478088857237</v>
      </c>
    </row>
    <row r="520" customFormat="false" ht="12.8" hidden="false" customHeight="false" outlineLevel="0" collapsed="false">
      <c r="A520" s="0" t="n">
        <v>1</v>
      </c>
      <c r="B520" s="0" t="n">
        <f aca="false">B519+A520</f>
        <v>517</v>
      </c>
      <c r="C520" s="0" t="n">
        <f aca="false">$C$3+($G$1/($E$1*86.4))*SINH($E$1*B520*86.4/$G$1)</f>
        <v>45325.4795824761</v>
      </c>
      <c r="D520" s="0" t="n">
        <f aca="false">C520-$C$3-B520</f>
        <v>204.47958247608</v>
      </c>
      <c r="E520" s="0" t="n">
        <f aca="false">$E$1*B520*86.4</f>
        <v>438200.928</v>
      </c>
      <c r="F520" s="0" t="n">
        <f aca="false">$G$1*G520</f>
        <v>269334.780194793</v>
      </c>
      <c r="G520" s="0" t="n">
        <f aca="false">TANH($E$1*B520*86.4/$G$1)</f>
        <v>0.897782600649309</v>
      </c>
      <c r="H520" s="0" t="n">
        <f aca="false">COSH($E$1*B520*86.4/$G$1)</f>
        <v>2.27046261901688</v>
      </c>
      <c r="I520" s="0" t="n">
        <f aca="false">(($G$1^2*1000)/($E$1*$I$1))*(H520-1)</f>
        <v>1.23199098997474</v>
      </c>
      <c r="J520" s="0" t="n">
        <f aca="false">$J$3*EXP(-$E$1*B520*86.4/$G$1)</f>
        <v>232.080784238864</v>
      </c>
      <c r="K520" s="0" t="n">
        <f aca="false">J519-J520</f>
        <v>0.656620329463408</v>
      </c>
    </row>
    <row r="521" customFormat="false" ht="12.8" hidden="false" customHeight="false" outlineLevel="0" collapsed="false">
      <c r="A521" s="0" t="n">
        <v>1</v>
      </c>
      <c r="B521" s="0" t="n">
        <f aca="false">B520+A521</f>
        <v>518</v>
      </c>
      <c r="C521" s="0" t="n">
        <f aca="false">$C$3+($G$1/($E$1*86.4))*SINH($E$1*B521*86.4/$G$1)</f>
        <v>45327.7529276173</v>
      </c>
      <c r="D521" s="0" t="n">
        <f aca="false">C521-$C$3-B521</f>
        <v>205.752927617279</v>
      </c>
      <c r="E521" s="0" t="n">
        <f aca="false">$E$1*B521*86.4</f>
        <v>439048.512</v>
      </c>
      <c r="F521" s="0" t="n">
        <f aca="false">$G$1*G521</f>
        <v>269498.783536571</v>
      </c>
      <c r="G521" s="0" t="n">
        <f aca="false">TANH($E$1*B521*86.4/$G$1)</f>
        <v>0.898329278455235</v>
      </c>
      <c r="H521" s="0" t="n">
        <f aca="false">COSH($E$1*B521*86.4/$G$1)</f>
        <v>2.27623068776606</v>
      </c>
      <c r="I521" s="0" t="n">
        <f aca="false">(($G$1^2*1000)/($E$1*$I$1))*(H521-1)</f>
        <v>1.23758439242687</v>
      </c>
      <c r="J521" s="0" t="n">
        <f aca="false">$J$3*EXP(-$E$1*B521*86.4/$G$1)</f>
        <v>231.426016427511</v>
      </c>
      <c r="K521" s="0" t="n">
        <f aca="false">J520-J521</f>
        <v>0.654767811352372</v>
      </c>
    </row>
    <row r="522" customFormat="false" ht="12.8" hidden="false" customHeight="false" outlineLevel="0" collapsed="false">
      <c r="A522" s="0" t="n">
        <v>1</v>
      </c>
      <c r="B522" s="0" t="n">
        <f aca="false">B521+A522</f>
        <v>519</v>
      </c>
      <c r="C522" s="0" t="n">
        <f aca="false">$C$3+($G$1/($E$1*86.4))*SINH($E$1*B522*86.4/$G$1)</f>
        <v>45330.0320499081</v>
      </c>
      <c r="D522" s="0" t="n">
        <f aca="false">C522-$C$3-B522</f>
        <v>207.032049908063</v>
      </c>
      <c r="E522" s="0" t="n">
        <f aca="false">$E$1*B522*86.4</f>
        <v>439896.096</v>
      </c>
      <c r="F522" s="0" t="n">
        <f aca="false">$G$1*G522</f>
        <v>269661.956496718</v>
      </c>
      <c r="G522" s="0" t="n">
        <f aca="false">TANH($E$1*B522*86.4/$G$1)</f>
        <v>0.898873188322392</v>
      </c>
      <c r="H522" s="0" t="n">
        <f aca="false">COSH($E$1*B522*86.4/$G$1)</f>
        <v>2.28201692587203</v>
      </c>
      <c r="I522" s="0" t="n">
        <f aca="false">(($G$1^2*1000)/($E$1*$I$1))*(H522-1)</f>
        <v>1.24319541403876</v>
      </c>
      <c r="J522" s="0" t="n">
        <f aca="false">$J$3*EXP(-$E$1*B522*86.4/$G$1)</f>
        <v>230.773095907774</v>
      </c>
      <c r="K522" s="0" t="n">
        <f aca="false">J521-J522</f>
        <v>0.652920519737165</v>
      </c>
    </row>
    <row r="523" customFormat="false" ht="12.8" hidden="false" customHeight="false" outlineLevel="0" collapsed="false">
      <c r="A523" s="0" t="n">
        <v>1</v>
      </c>
      <c r="B523" s="0" t="n">
        <f aca="false">B522+A523</f>
        <v>520</v>
      </c>
      <c r="C523" s="0" t="n">
        <f aca="false">$C$3+($G$1/($E$1*86.4))*SINH($E$1*B523*86.4/$G$1)</f>
        <v>45332.3169675409</v>
      </c>
      <c r="D523" s="0" t="n">
        <f aca="false">C523-$C$3-B523</f>
        <v>208.316967540872</v>
      </c>
      <c r="E523" s="0" t="n">
        <f aca="false">$E$1*B523*86.4</f>
        <v>440743.68</v>
      </c>
      <c r="F523" s="0" t="n">
        <f aca="false">$G$1*G523</f>
        <v>269824.302780665</v>
      </c>
      <c r="G523" s="0" t="n">
        <f aca="false">TANH($E$1*B523*86.4/$G$1)</f>
        <v>0.899414342602216</v>
      </c>
      <c r="H523" s="0" t="n">
        <f aca="false">COSH($E$1*B523*86.4/$G$1)</f>
        <v>2.28782137952177</v>
      </c>
      <c r="I523" s="0" t="n">
        <f aca="false">(($G$1^2*1000)/($E$1*$I$1))*(H523-1)</f>
        <v>1.24882409959878</v>
      </c>
      <c r="J523" s="0" t="n">
        <f aca="false">$J$3*EXP(-$E$1*B523*86.4/$G$1)</f>
        <v>230.122017467902</v>
      </c>
      <c r="K523" s="0" t="n">
        <f aca="false">J522-J523</f>
        <v>0.651078439872123</v>
      </c>
    </row>
    <row r="524" customFormat="false" ht="12.8" hidden="false" customHeight="false" outlineLevel="0" collapsed="false">
      <c r="A524" s="0" t="n">
        <v>1</v>
      </c>
      <c r="B524" s="0" t="n">
        <f aca="false">B523+A524</f>
        <v>521</v>
      </c>
      <c r="C524" s="0" t="n">
        <f aca="false">$C$3+($G$1/($E$1*86.4))*SINH($E$1*B524*86.4/$G$1)</f>
        <v>45334.6076987544</v>
      </c>
      <c r="D524" s="0" t="n">
        <f aca="false">C524-$C$3-B524</f>
        <v>209.607698754393</v>
      </c>
      <c r="E524" s="0" t="n">
        <f aca="false">$E$1*B524*86.4</f>
        <v>441591.264</v>
      </c>
      <c r="F524" s="0" t="n">
        <f aca="false">$G$1*G524</f>
        <v>269985.826082654</v>
      </c>
      <c r="G524" s="0" t="n">
        <f aca="false">TANH($E$1*B524*86.4/$G$1)</f>
        <v>0.899952753608847</v>
      </c>
      <c r="H524" s="0" t="n">
        <f aca="false">COSH($E$1*B524*86.4/$G$1)</f>
        <v>2.29364409504767</v>
      </c>
      <c r="I524" s="0" t="n">
        <f aca="false">(($G$1^2*1000)/($E$1*$I$1))*(H524-1)</f>
        <v>1.2544704940363</v>
      </c>
      <c r="J524" s="0" t="n">
        <f aca="false">$J$3*EXP(-$E$1*B524*86.4/$G$1)</f>
        <v>229.472775910849</v>
      </c>
      <c r="K524" s="0" t="n">
        <f aca="false">J523-J524</f>
        <v>0.649241557053529</v>
      </c>
    </row>
    <row r="525" customFormat="false" ht="12.8" hidden="false" customHeight="false" outlineLevel="0" collapsed="false">
      <c r="A525" s="0" t="n">
        <v>1</v>
      </c>
      <c r="B525" s="0" t="n">
        <f aca="false">B524+A525</f>
        <v>522</v>
      </c>
      <c r="C525" s="0" t="n">
        <f aca="false">$C$3+($G$1/($E$1*86.4))*SINH($E$1*B525*86.4/$G$1)</f>
        <v>45336.9042618338</v>
      </c>
      <c r="D525" s="0" t="n">
        <f aca="false">C525-$C$3-B525</f>
        <v>210.904261833748</v>
      </c>
      <c r="E525" s="0" t="n">
        <f aca="false">$E$1*B525*86.4</f>
        <v>442438.848</v>
      </c>
      <c r="F525" s="0" t="n">
        <f aca="false">$G$1*G525</f>
        <v>270146.530085711</v>
      </c>
      <c r="G525" s="0" t="n">
        <f aca="false">TANH($E$1*B525*86.4/$G$1)</f>
        <v>0.900488433619037</v>
      </c>
      <c r="H525" s="0" t="n">
        <f aca="false">COSH($E$1*B525*86.4/$G$1)</f>
        <v>2.29948511892788</v>
      </c>
      <c r="I525" s="0" t="n">
        <f aca="false">(($G$1^2*1000)/($E$1*$I$1))*(H525-1)</f>
        <v>1.26013464242204</v>
      </c>
      <c r="J525" s="0" t="n">
        <f aca="false">$J$3*EXP(-$E$1*B525*86.4/$G$1)</f>
        <v>228.82536605423</v>
      </c>
      <c r="K525" s="0" t="n">
        <f aca="false">J524-J525</f>
        <v>0.647409856619021</v>
      </c>
    </row>
    <row r="526" customFormat="false" ht="12.8" hidden="false" customHeight="false" outlineLevel="0" collapsed="false">
      <c r="A526" s="0" t="n">
        <v>1</v>
      </c>
      <c r="B526" s="0" t="n">
        <f aca="false">B525+A526</f>
        <v>523</v>
      </c>
      <c r="C526" s="0" t="n">
        <f aca="false">$C$3+($G$1/($E$1*86.4))*SINH($E$1*B526*86.4/$G$1)</f>
        <v>45339.2066751106</v>
      </c>
      <c r="D526" s="0" t="n">
        <f aca="false">C526-$C$3-B526</f>
        <v>212.206675110574</v>
      </c>
      <c r="E526" s="0" t="n">
        <f aca="false">$E$1*B526*86.4</f>
        <v>443286.432</v>
      </c>
      <c r="F526" s="0" t="n">
        <f aca="false">$G$1*G526</f>
        <v>270306.41846162</v>
      </c>
      <c r="G526" s="0" t="n">
        <f aca="false">TANH($E$1*B526*86.4/$G$1)</f>
        <v>0.901021394872067</v>
      </c>
      <c r="H526" s="0" t="n">
        <f aca="false">COSH($E$1*B526*86.4/$G$1)</f>
        <v>2.30534449778669</v>
      </c>
      <c r="I526" s="0" t="n">
        <f aca="false">(($G$1^2*1000)/($E$1*$I$1))*(H526-1)</f>
        <v>1.26581658996843</v>
      </c>
      <c r="J526" s="0" t="n">
        <f aca="false">$J$3*EXP(-$E$1*B526*86.4/$G$1)</f>
        <v>228.179782730282</v>
      </c>
      <c r="K526" s="0" t="n">
        <f aca="false">J525-J526</f>
        <v>0.645583323947335</v>
      </c>
    </row>
    <row r="527" customFormat="false" ht="12.8" hidden="false" customHeight="false" outlineLevel="0" collapsed="false">
      <c r="A527" s="0" t="n">
        <v>1</v>
      </c>
      <c r="B527" s="0" t="n">
        <f aca="false">B526+A527</f>
        <v>524</v>
      </c>
      <c r="C527" s="0" t="n">
        <f aca="false">$C$3+($G$1/($E$1*86.4))*SINH($E$1*B527*86.4/$G$1)</f>
        <v>45341.5149569632</v>
      </c>
      <c r="D527" s="0" t="n">
        <f aca="false">C527-$C$3-B527</f>
        <v>213.514956963234</v>
      </c>
      <c r="E527" s="0" t="n">
        <f aca="false">$E$1*B527*86.4</f>
        <v>444134.016</v>
      </c>
      <c r="F527" s="0" t="n">
        <f aca="false">$G$1*G527</f>
        <v>270465.494870899</v>
      </c>
      <c r="G527" s="0" t="n">
        <f aca="false">TANH($E$1*B527*86.4/$G$1)</f>
        <v>0.901551649569664</v>
      </c>
      <c r="H527" s="0" t="n">
        <f aca="false">COSH($E$1*B527*86.4/$G$1)</f>
        <v>2.31122227839492</v>
      </c>
      <c r="I527" s="0" t="n">
        <f aca="false">(($G$1^2*1000)/($E$1*$I$1))*(H527-1)</f>
        <v>1.27151638202999</v>
      </c>
      <c r="J527" s="0" t="n">
        <f aca="false">$J$3*EXP(-$E$1*B527*86.4/$G$1)</f>
        <v>227.536020785823</v>
      </c>
      <c r="K527" s="0" t="n">
        <f aca="false">J526-J527</f>
        <v>0.643761944459016</v>
      </c>
    </row>
    <row r="528" customFormat="false" ht="12.8" hidden="false" customHeight="false" outlineLevel="0" collapsed="false">
      <c r="A528" s="0" t="n">
        <v>1</v>
      </c>
      <c r="B528" s="0" t="n">
        <f aca="false">B527+A528</f>
        <v>525</v>
      </c>
      <c r="C528" s="0" t="n">
        <f aca="false">$C$3+($G$1/($E$1*86.4))*SINH($E$1*B528*86.4/$G$1)</f>
        <v>45343.8291258169</v>
      </c>
      <c r="D528" s="0" t="n">
        <f aca="false">C528-$C$3-B528</f>
        <v>214.829125816919</v>
      </c>
      <c r="E528" s="0" t="n">
        <f aca="false">$E$1*B528*86.4</f>
        <v>444981.6</v>
      </c>
      <c r="F528" s="0" t="n">
        <f aca="false">$G$1*G528</f>
        <v>270623.762962775</v>
      </c>
      <c r="G528" s="0" t="n">
        <f aca="false">TANH($E$1*B528*86.4/$G$1)</f>
        <v>0.902079209875916</v>
      </c>
      <c r="H528" s="0" t="n">
        <f aca="false">COSH($E$1*B528*86.4/$G$1)</f>
        <v>2.31711850767024</v>
      </c>
      <c r="I528" s="0" t="n">
        <f aca="false">(($G$1^2*1000)/($E$1*$I$1))*(H528-1)</f>
        <v>1.27723406410366</v>
      </c>
      <c r="J528" s="0" t="n">
        <f aca="false">$J$3*EXP(-$E$1*B528*86.4/$G$1)</f>
        <v>226.894075082208</v>
      </c>
      <c r="K528" s="0" t="n">
        <f aca="false">J527-J528</f>
        <v>0.641945703615079</v>
      </c>
    </row>
    <row r="529" customFormat="false" ht="12.8" hidden="false" customHeight="false" outlineLevel="0" collapsed="false">
      <c r="A529" s="0" t="n">
        <v>1</v>
      </c>
      <c r="B529" s="0" t="n">
        <f aca="false">B528+A529</f>
        <v>526</v>
      </c>
      <c r="C529" s="0" t="n">
        <f aca="false">$C$3+($G$1/($E$1*86.4))*SINH($E$1*B529*86.4/$G$1)</f>
        <v>45346.1492001438</v>
      </c>
      <c r="D529" s="0" t="n">
        <f aca="false">C529-$C$3-B529</f>
        <v>216.149200143816</v>
      </c>
      <c r="E529" s="0" t="n">
        <f aca="false">$E$1*B529*86.4</f>
        <v>445829.184</v>
      </c>
      <c r="F529" s="0" t="n">
        <f aca="false">$G$1*G529</f>
        <v>270781.22637516</v>
      </c>
      <c r="G529" s="0" t="n">
        <f aca="false">TANH($E$1*B529*86.4/$G$1)</f>
        <v>0.902604087917201</v>
      </c>
      <c r="H529" s="0" t="n">
        <f aca="false">COSH($E$1*B529*86.4/$G$1)</f>
        <v>2.32303323267762</v>
      </c>
      <c r="I529" s="0" t="n">
        <f aca="false">(($G$1^2*1000)/($E$1*$I$1))*(H529-1)</f>
        <v>1.2829696818292</v>
      </c>
      <c r="J529" s="0" t="n">
        <f aca="false">$J$3*EXP(-$E$1*B529*86.4/$G$1)</f>
        <v>226.25394049529</v>
      </c>
      <c r="K529" s="0" t="n">
        <f aca="false">J528-J529</f>
        <v>0.640134586918265</v>
      </c>
    </row>
    <row r="530" customFormat="false" ht="12.8" hidden="false" customHeight="false" outlineLevel="0" collapsed="false">
      <c r="A530" s="0" t="n">
        <v>1</v>
      </c>
      <c r="B530" s="0" t="n">
        <f aca="false">B529+A530</f>
        <v>527</v>
      </c>
      <c r="C530" s="0" t="n">
        <f aca="false">$C$3+($G$1/($E$1*86.4))*SINH($E$1*B530*86.4/$G$1)</f>
        <v>45348.4751984633</v>
      </c>
      <c r="D530" s="0" t="n">
        <f aca="false">C530-$C$3-B530</f>
        <v>217.475198463253</v>
      </c>
      <c r="E530" s="0" t="n">
        <f aca="false">$E$1*B530*86.4</f>
        <v>446676.768</v>
      </c>
      <c r="F530" s="0" t="n">
        <f aca="false">$G$1*G530</f>
        <v>270937.888734632</v>
      </c>
      <c r="G530" s="0" t="n">
        <f aca="false">TANH($E$1*B530*86.4/$G$1)</f>
        <v>0.903126295782107</v>
      </c>
      <c r="H530" s="0" t="n">
        <f aca="false">COSH($E$1*B530*86.4/$G$1)</f>
        <v>2.32896650062965</v>
      </c>
      <c r="I530" s="0" t="n">
        <f aca="false">(($G$1^2*1000)/($E$1*$I$1))*(H530-1)</f>
        <v>1.28872328098953</v>
      </c>
      <c r="J530" s="0" t="n">
        <f aca="false">$J$3*EXP(-$E$1*B530*86.4/$G$1)</f>
        <v>225.615611915378</v>
      </c>
      <c r="K530" s="0" t="n">
        <f aca="false">J529-J530</f>
        <v>0.63832857991153</v>
      </c>
    </row>
    <row r="531" customFormat="false" ht="12.8" hidden="false" customHeight="false" outlineLevel="0" collapsed="false">
      <c r="A531" s="0" t="n">
        <v>1</v>
      </c>
      <c r="B531" s="0" t="n">
        <f aca="false">B530+A531</f>
        <v>528</v>
      </c>
      <c r="C531" s="0" t="n">
        <f aca="false">$C$3+($G$1/($E$1*86.4))*SINH($E$1*B531*86.4/$G$1)</f>
        <v>45350.8071393418</v>
      </c>
      <c r="D531" s="0" t="n">
        <f aca="false">C531-$C$3-B531</f>
        <v>218.807139341843</v>
      </c>
      <c r="E531" s="0" t="n">
        <f aca="false">$E$1*B531*86.4</f>
        <v>447524.352</v>
      </c>
      <c r="F531" s="0" t="n">
        <f aca="false">$G$1*G531</f>
        <v>271093.753656409</v>
      </c>
      <c r="G531" s="0" t="n">
        <f aca="false">TANH($E$1*B531*86.4/$G$1)</f>
        <v>0.903645845521362</v>
      </c>
      <c r="H531" s="0" t="n">
        <f aca="false">COSH($E$1*B531*86.4/$G$1)</f>
        <v>2.33491835888693</v>
      </c>
      <c r="I531" s="0" t="n">
        <f aca="false">(($G$1^2*1000)/($E$1*$I$1))*(H531-1)</f>
        <v>1.2944949075111</v>
      </c>
      <c r="J531" s="0" t="n">
        <f aca="false">$J$3*EXP(-$E$1*B531*86.4/$G$1)</f>
        <v>224.979084247199</v>
      </c>
      <c r="K531" s="0" t="n">
        <f aca="false">J530-J531</f>
        <v>0.636527668179156</v>
      </c>
    </row>
    <row r="532" customFormat="false" ht="12.8" hidden="false" customHeight="false" outlineLevel="0" collapsed="false">
      <c r="A532" s="0" t="n">
        <v>1</v>
      </c>
      <c r="B532" s="0" t="n">
        <f aca="false">B531+A532</f>
        <v>529</v>
      </c>
      <c r="C532" s="0" t="n">
        <f aca="false">$C$3+($G$1/($E$1*86.4))*SINH($E$1*B532*86.4/$G$1)</f>
        <v>45353.1450413936</v>
      </c>
      <c r="D532" s="0" t="n">
        <f aca="false">C532-$C$3-B532</f>
        <v>220.145041393633</v>
      </c>
      <c r="E532" s="0" t="n">
        <f aca="false">$E$1*B532*86.4</f>
        <v>448371.936</v>
      </c>
      <c r="F532" s="0" t="n">
        <f aca="false">$G$1*G532</f>
        <v>271248.82474433</v>
      </c>
      <c r="G532" s="0" t="n">
        <f aca="false">TANH($E$1*B532*86.4/$G$1)</f>
        <v>0.904162749147766</v>
      </c>
      <c r="H532" s="0" t="n">
        <f aca="false">COSH($E$1*B532*86.4/$G$1)</f>
        <v>2.34088885495846</v>
      </c>
      <c r="I532" s="0" t="n">
        <f aca="false">(($G$1^2*1000)/($E$1*$I$1))*(H532-1)</f>
        <v>1.30028460746425</v>
      </c>
      <c r="J532" s="0" t="n">
        <f aca="false">$J$3*EXP(-$E$1*B532*86.4/$G$1)</f>
        <v>224.344352409853</v>
      </c>
      <c r="K532" s="0" t="n">
        <f aca="false">J531-J532</f>
        <v>0.634731837345925</v>
      </c>
    </row>
    <row r="533" customFormat="false" ht="12.8" hidden="false" customHeight="false" outlineLevel="0" collapsed="false">
      <c r="A533" s="0" t="n">
        <v>1</v>
      </c>
      <c r="B533" s="0" t="n">
        <f aca="false">B532+A533</f>
        <v>530</v>
      </c>
      <c r="C533" s="0" t="n">
        <f aca="false">$C$3+($G$1/($E$1*86.4))*SINH($E$1*B533*86.4/$G$1)</f>
        <v>45355.4889232803</v>
      </c>
      <c r="D533" s="0" t="n">
        <f aca="false">C533-$C$3-B533</f>
        <v>221.488923280253</v>
      </c>
      <c r="E533" s="0" t="n">
        <f aca="false">$E$1*B533*86.4</f>
        <v>449219.52</v>
      </c>
      <c r="F533" s="0" t="n">
        <f aca="false">$G$1*G533</f>
        <v>271403.105590836</v>
      </c>
      <c r="G533" s="0" t="n">
        <f aca="false">TANH($E$1*B533*86.4/$G$1)</f>
        <v>0.904677018636121</v>
      </c>
      <c r="H533" s="0" t="n">
        <f aca="false">COSH($E$1*B533*86.4/$G$1)</f>
        <v>2.346878036502</v>
      </c>
      <c r="I533" s="0" t="n">
        <f aca="false">(($G$1^2*1000)/($E$1*$I$1))*(H533-1)</f>
        <v>1.3060924270636</v>
      </c>
      <c r="J533" s="0" t="n">
        <f aca="false">$J$3*EXP(-$E$1*B533*86.4/$G$1)</f>
        <v>223.711411336777</v>
      </c>
      <c r="K533" s="0" t="n">
        <f aca="false">J532-J533</f>
        <v>0.632941073076779</v>
      </c>
    </row>
    <row r="534" customFormat="false" ht="12.8" hidden="false" customHeight="false" outlineLevel="0" collapsed="false">
      <c r="A534" s="0" t="n">
        <v>1</v>
      </c>
      <c r="B534" s="0" t="n">
        <f aca="false">B533+A534</f>
        <v>531</v>
      </c>
      <c r="C534" s="0" t="n">
        <f aca="false">$C$3+($G$1/($E$1*86.4))*SINH($E$1*B534*86.4/$G$1)</f>
        <v>45357.8388037111</v>
      </c>
      <c r="D534" s="0" t="n">
        <f aca="false">C534-$C$3-B534</f>
        <v>222.838803711064</v>
      </c>
      <c r="E534" s="0" t="n">
        <f aca="false">$E$1*B534*86.4</f>
        <v>450067.104</v>
      </c>
      <c r="F534" s="0" t="n">
        <f aca="false">$G$1*G534</f>
        <v>271556.599776952</v>
      </c>
      <c r="G534" s="0" t="n">
        <f aca="false">TANH($E$1*B534*86.4/$G$1)</f>
        <v>0.905188665923173</v>
      </c>
      <c r="H534" s="0" t="n">
        <f aca="false">COSH($E$1*B534*86.4/$G$1)</f>
        <v>2.35288595132449</v>
      </c>
      <c r="I534" s="0" t="n">
        <f aca="false">(($G$1^2*1000)/($E$1*$I$1))*(H534-1)</f>
        <v>1.31191841266841</v>
      </c>
      <c r="J534" s="0" t="n">
        <f aca="false">$J$3*EXP(-$E$1*B534*86.4/$G$1)</f>
        <v>223.080255975699</v>
      </c>
      <c r="K534" s="0" t="n">
        <f aca="false">J533-J534</f>
        <v>0.631155361078044</v>
      </c>
    </row>
    <row r="535" customFormat="false" ht="12.8" hidden="false" customHeight="false" outlineLevel="0" collapsed="false">
      <c r="A535" s="0" t="n">
        <v>1</v>
      </c>
      <c r="B535" s="0" t="n">
        <f aca="false">B534+A535</f>
        <v>532</v>
      </c>
      <c r="C535" s="0" t="n">
        <f aca="false">$C$3+($G$1/($E$1*86.4))*SINH($E$1*B535*86.4/$G$1)</f>
        <v>45360.1947014433</v>
      </c>
      <c r="D535" s="0" t="n">
        <f aca="false">C535-$C$3-B535</f>
        <v>224.19470144331</v>
      </c>
      <c r="E535" s="0" t="n">
        <f aca="false">$E$1*B535*86.4</f>
        <v>450914.688</v>
      </c>
      <c r="F535" s="0" t="n">
        <f aca="false">$G$1*G535</f>
        <v>271709.310872263</v>
      </c>
      <c r="G535" s="0" t="n">
        <f aca="false">TANH($E$1*B535*86.4/$G$1)</f>
        <v>0.905697702907544</v>
      </c>
      <c r="H535" s="0" t="n">
        <f aca="false">COSH($E$1*B535*86.4/$G$1)</f>
        <v>2.35891264738236</v>
      </c>
      <c r="I535" s="0" t="n">
        <f aca="false">(($G$1^2*1000)/($E$1*$I$1))*(H535-1)</f>
        <v>1.31776261078292</v>
      </c>
      <c r="J535" s="0" t="n">
        <f aca="false">$J$3*EXP(-$E$1*B535*86.4/$G$1)</f>
        <v>222.450881288603</v>
      </c>
      <c r="K535" s="0" t="n">
        <f aca="false">J534-J535</f>
        <v>0.629374687095123</v>
      </c>
    </row>
    <row r="536" customFormat="false" ht="12.8" hidden="false" customHeight="false" outlineLevel="0" collapsed="false">
      <c r="A536" s="0" t="n">
        <v>1</v>
      </c>
      <c r="B536" s="0" t="n">
        <f aca="false">B535+A536</f>
        <v>533</v>
      </c>
      <c r="C536" s="0" t="n">
        <f aca="false">$C$3+($G$1/($E$1*86.4))*SINH($E$1*B536*86.4/$G$1)</f>
        <v>45362.5566352823</v>
      </c>
      <c r="D536" s="0" t="n">
        <f aca="false">C536-$C$3-B536</f>
        <v>225.556635282272</v>
      </c>
      <c r="E536" s="0" t="n">
        <f aca="false">$E$1*B536*86.4</f>
        <v>451762.272</v>
      </c>
      <c r="F536" s="0" t="n">
        <f aca="false">$G$1*G536</f>
        <v>271861.242434903</v>
      </c>
      <c r="G536" s="0" t="n">
        <f aca="false">TANH($E$1*B536*86.4/$G$1)</f>
        <v>0.906204141449677</v>
      </c>
      <c r="H536" s="0" t="n">
        <f aca="false">COSH($E$1*B536*86.4/$G$1)</f>
        <v>2.36495817278199</v>
      </c>
      <c r="I536" s="0" t="n">
        <f aca="false">(($G$1^2*1000)/($E$1*$I$1))*(H536-1)</f>
        <v>1.32362506805676</v>
      </c>
      <c r="J536" s="0" t="n">
        <f aca="false">$J$3*EXP(-$E$1*B536*86.4/$G$1)</f>
        <v>221.823282251689</v>
      </c>
      <c r="K536" s="0" t="n">
        <f aca="false">J535-J536</f>
        <v>0.627599036914859</v>
      </c>
    </row>
    <row r="537" customFormat="false" ht="12.8" hidden="false" customHeight="false" outlineLevel="0" collapsed="false">
      <c r="A537" s="0" t="n">
        <v>1</v>
      </c>
      <c r="B537" s="0" t="n">
        <f aca="false">B536+A537</f>
        <v>534</v>
      </c>
      <c r="C537" s="0" t="n">
        <f aca="false">$C$3+($G$1/($E$1*86.4))*SINH($E$1*B537*86.4/$G$1)</f>
        <v>45364.9246240814</v>
      </c>
      <c r="D537" s="0" t="n">
        <f aca="false">C537-$C$3-B537</f>
        <v>226.924624081403</v>
      </c>
      <c r="E537" s="0" t="n">
        <f aca="false">$E$1*B537*86.4</f>
        <v>452609.856</v>
      </c>
      <c r="F537" s="0" t="n">
        <f aca="false">$G$1*G537</f>
        <v>272012.398011535</v>
      </c>
      <c r="G537" s="0" t="n">
        <f aca="false">TANH($E$1*B537*86.4/$G$1)</f>
        <v>0.906707993371782</v>
      </c>
      <c r="H537" s="0" t="n">
        <f aca="false">COSH($E$1*B537*86.4/$G$1)</f>
        <v>2.37102257578004</v>
      </c>
      <c r="I537" s="0" t="n">
        <f aca="false">(($G$1^2*1000)/($E$1*$I$1))*(H537-1)</f>
        <v>1.32950583128532</v>
      </c>
      <c r="J537" s="0" t="n">
        <f aca="false">$J$3*EXP(-$E$1*B537*86.4/$G$1)</f>
        <v>221.197453855325</v>
      </c>
      <c r="K537" s="0" t="n">
        <f aca="false">J536-J537</f>
        <v>0.625828396363261</v>
      </c>
    </row>
    <row r="538" customFormat="false" ht="12.8" hidden="false" customHeight="false" outlineLevel="0" collapsed="false">
      <c r="A538" s="0" t="n">
        <v>1</v>
      </c>
      <c r="B538" s="0" t="n">
        <f aca="false">B537+A538</f>
        <v>535</v>
      </c>
      <c r="C538" s="0" t="n">
        <f aca="false">$C$3+($G$1/($E$1*86.4))*SINH($E$1*B538*86.4/$G$1)</f>
        <v>45367.2986867425</v>
      </c>
      <c r="D538" s="0" t="n">
        <f aca="false">C538-$C$3-B538</f>
        <v>228.298686742499</v>
      </c>
      <c r="E538" s="0" t="n">
        <f aca="false">$E$1*B538*86.4</f>
        <v>453457.44</v>
      </c>
      <c r="F538" s="0" t="n">
        <f aca="false">$G$1*G538</f>
        <v>272162.781137333</v>
      </c>
      <c r="G538" s="0" t="n">
        <f aca="false">TANH($E$1*B538*86.4/$G$1)</f>
        <v>0.907209270457778</v>
      </c>
      <c r="H538" s="0" t="n">
        <f aca="false">COSH($E$1*B538*86.4/$G$1)</f>
        <v>2.37710590478387</v>
      </c>
      <c r="I538" s="0" t="n">
        <f aca="false">(($G$1^2*1000)/($E$1*$I$1))*(H538-1)</f>
        <v>1.3354049474101</v>
      </c>
      <c r="J538" s="0" t="n">
        <f aca="false">$J$3*EXP(-$E$1*B538*86.4/$G$1)</f>
        <v>220.573391104018</v>
      </c>
      <c r="K538" s="0" t="n">
        <f aca="false">J537-J538</f>
        <v>0.624062751306894</v>
      </c>
    </row>
    <row r="539" customFormat="false" ht="12.8" hidden="false" customHeight="false" outlineLevel="0" collapsed="false">
      <c r="A539" s="0" t="n">
        <v>1</v>
      </c>
      <c r="B539" s="0" t="n">
        <f aca="false">B538+A539</f>
        <v>536</v>
      </c>
      <c r="C539" s="0" t="n">
        <f aca="false">$C$3+($G$1/($E$1*86.4))*SINH($E$1*B539*86.4/$G$1)</f>
        <v>45369.6788422158</v>
      </c>
      <c r="D539" s="0" t="n">
        <f aca="false">C539-$C$3-B539</f>
        <v>229.678842215828</v>
      </c>
      <c r="E539" s="0" t="n">
        <f aca="false">$E$1*B539*86.4</f>
        <v>454305.024</v>
      </c>
      <c r="F539" s="0" t="n">
        <f aca="false">$G$1*G539</f>
        <v>272312.395335974</v>
      </c>
      <c r="G539" s="0" t="n">
        <f aca="false">TANH($E$1*B539*86.4/$G$1)</f>
        <v>0.907707984453245</v>
      </c>
      <c r="H539" s="0" t="n">
        <f aca="false">COSH($E$1*B539*86.4/$G$1)</f>
        <v>2.3832082083519</v>
      </c>
      <c r="I539" s="0" t="n">
        <f aca="false">(($G$1^2*1000)/($E$1*$I$1))*(H539-1)</f>
        <v>1.34132246351909</v>
      </c>
      <c r="J539" s="0" t="n">
        <f aca="false">$J$3*EXP(-$E$1*B539*86.4/$G$1)</f>
        <v>219.951089016366</v>
      </c>
      <c r="K539" s="0" t="n">
        <f aca="false">J538-J539</f>
        <v>0.622302087651946</v>
      </c>
    </row>
    <row r="540" customFormat="false" ht="12.8" hidden="false" customHeight="false" outlineLevel="0" collapsed="false">
      <c r="A540" s="0" t="n">
        <v>1</v>
      </c>
      <c r="B540" s="0" t="n">
        <f aca="false">B539+A540</f>
        <v>537</v>
      </c>
      <c r="C540" s="0" t="n">
        <f aca="false">$C$3+($G$1/($E$1*86.4))*SINH($E$1*B540*86.4/$G$1)</f>
        <v>45372.0651095003</v>
      </c>
      <c r="D540" s="0" t="n">
        <f aca="false">C540-$C$3-B540</f>
        <v>231.06510950029</v>
      </c>
      <c r="E540" s="0" t="n">
        <f aca="false">$E$1*B540*86.4</f>
        <v>455152.608</v>
      </c>
      <c r="F540" s="0" t="n">
        <f aca="false">$G$1*G540</f>
        <v>272461.244119613</v>
      </c>
      <c r="G540" s="0" t="n">
        <f aca="false">TANH($E$1*B540*86.4/$G$1)</f>
        <v>0.908204147065376</v>
      </c>
      <c r="H540" s="0" t="n">
        <f aca="false">COSH($E$1*B540*86.4/$G$1)</f>
        <v>2.38932953519401</v>
      </c>
      <c r="I540" s="0" t="n">
        <f aca="false">(($G$1^2*1000)/($E$1*$I$1))*(H540-1)</f>
        <v>1.34725842684717</v>
      </c>
      <c r="J540" s="0" t="n">
        <f aca="false">$J$3*EXP(-$E$1*B540*86.4/$G$1)</f>
        <v>219.330542625022</v>
      </c>
      <c r="K540" s="0" t="n">
        <f aca="false">J539-J540</f>
        <v>0.620546391344504</v>
      </c>
    </row>
    <row r="541" customFormat="false" ht="12.8" hidden="false" customHeight="false" outlineLevel="0" collapsed="false">
      <c r="A541" s="0" t="n">
        <v>1</v>
      </c>
      <c r="B541" s="0" t="n">
        <f aca="false">B540+A541</f>
        <v>538</v>
      </c>
      <c r="C541" s="0" t="n">
        <f aca="false">$C$3+($G$1/($E$1*86.4))*SINH($E$1*B541*86.4/$G$1)</f>
        <v>45374.4575076436</v>
      </c>
      <c r="D541" s="0" t="n">
        <f aca="false">C541-$C$3-B541</f>
        <v>232.457507643594</v>
      </c>
      <c r="E541" s="0" t="n">
        <f aca="false">$E$1*B541*86.4</f>
        <v>456000.192</v>
      </c>
      <c r="F541" s="0" t="n">
        <f aca="false">$G$1*G541</f>
        <v>272609.330988879</v>
      </c>
      <c r="G541" s="0" t="n">
        <f aca="false">TANH($E$1*B541*86.4/$G$1)</f>
        <v>0.90869776996293</v>
      </c>
      <c r="H541" s="0" t="n">
        <f aca="false">COSH($E$1*B541*86.4/$G$1)</f>
        <v>2.39546993417194</v>
      </c>
      <c r="I541" s="0" t="n">
        <f aca="false">(($G$1^2*1000)/($E$1*$I$1))*(H541-1)</f>
        <v>1.35321288477645</v>
      </c>
      <c r="J541" s="0" t="n">
        <f aca="false">$J$3*EXP(-$E$1*B541*86.4/$G$1)</f>
        <v>218.711746976652</v>
      </c>
      <c r="K541" s="0" t="n">
        <f aca="false">J540-J541</f>
        <v>0.618795648370082</v>
      </c>
    </row>
    <row r="542" customFormat="false" ht="12.8" hidden="false" customHeight="false" outlineLevel="0" collapsed="false">
      <c r="A542" s="0" t="n">
        <v>1</v>
      </c>
      <c r="B542" s="0" t="n">
        <f aca="false">B541+A542</f>
        <v>539</v>
      </c>
      <c r="C542" s="0" t="n">
        <f aca="false">$C$3+($G$1/($E$1*86.4))*SINH($E$1*B542*86.4/$G$1)</f>
        <v>45376.8560557424</v>
      </c>
      <c r="D542" s="0" t="n">
        <f aca="false">C542-$C$3-B542</f>
        <v>233.856055742348</v>
      </c>
      <c r="E542" s="0" t="n">
        <f aca="false">$E$1*B542*86.4</f>
        <v>456847.776</v>
      </c>
      <c r="F542" s="0" t="n">
        <f aca="false">$G$1*G542</f>
        <v>272756.659432856</v>
      </c>
      <c r="G542" s="0" t="n">
        <f aca="false">TANH($E$1*B542*86.4/$G$1)</f>
        <v>0.909188864776187</v>
      </c>
      <c r="H542" s="0" t="n">
        <f aca="false">COSH($E$1*B542*86.4/$G$1)</f>
        <v>2.40162945429965</v>
      </c>
      <c r="I542" s="0" t="n">
        <f aca="false">(($G$1^2*1000)/($E$1*$I$1))*(H542-1)</f>
        <v>1.35918588483668</v>
      </c>
      <c r="J542" s="0" t="n">
        <f aca="false">$J$3*EXP(-$E$1*B542*86.4/$G$1)</f>
        <v>218.094697131898</v>
      </c>
      <c r="K542" s="0" t="n">
        <f aca="false">J541-J542</f>
        <v>0.617049844753922</v>
      </c>
    </row>
    <row r="543" customFormat="false" ht="12.8" hidden="false" customHeight="false" outlineLevel="0" collapsed="false">
      <c r="A543" s="0" t="n">
        <v>1</v>
      </c>
      <c r="B543" s="0" t="n">
        <f aca="false">B542+A543</f>
        <v>540</v>
      </c>
      <c r="C543" s="0" t="n">
        <f aca="false">$C$3+($G$1/($E$1*86.4))*SINH($E$1*B543*86.4/$G$1)</f>
        <v>45379.2607729423</v>
      </c>
      <c r="D543" s="0" t="n">
        <f aca="false">C543-$C$3-B543</f>
        <v>235.260772942296</v>
      </c>
      <c r="E543" s="0" t="n">
        <f aca="false">$E$1*B543*86.4</f>
        <v>457695.36</v>
      </c>
      <c r="F543" s="0" t="n">
        <f aca="false">$G$1*G543</f>
        <v>272903.232929073</v>
      </c>
      <c r="G543" s="0" t="n">
        <f aca="false">TANH($E$1*B543*86.4/$G$1)</f>
        <v>0.909677443096911</v>
      </c>
      <c r="H543" s="0" t="n">
        <f aca="false">COSH($E$1*B543*86.4/$G$1)</f>
        <v>2.40780814474374</v>
      </c>
      <c r="I543" s="0" t="n">
        <f aca="false">(($G$1^2*1000)/($E$1*$I$1))*(H543-1)</f>
        <v>1.36517747470562</v>
      </c>
      <c r="J543" s="0" t="n">
        <f aca="false">$J$3*EXP(-$E$1*B543*86.4/$G$1)</f>
        <v>217.479388165337</v>
      </c>
      <c r="K543" s="0" t="n">
        <f aca="false">J542-J543</f>
        <v>0.615308966560718</v>
      </c>
    </row>
    <row r="544" customFormat="false" ht="12.8" hidden="false" customHeight="false" outlineLevel="0" collapsed="false">
      <c r="A544" s="0" t="n">
        <v>1</v>
      </c>
      <c r="B544" s="0" t="n">
        <f aca="false">B543+A544</f>
        <v>541</v>
      </c>
      <c r="C544" s="0" t="n">
        <f aca="false">$C$3+($G$1/($E$1*86.4))*SINH($E$1*B544*86.4/$G$1)</f>
        <v>45381.6716784384</v>
      </c>
      <c r="D544" s="0" t="n">
        <f aca="false">C544-$C$3-B544</f>
        <v>236.671678438383</v>
      </c>
      <c r="E544" s="0" t="n">
        <f aca="false">$E$1*B544*86.4</f>
        <v>458542.944</v>
      </c>
      <c r="F544" s="0" t="n">
        <f aca="false">$G$1*G544</f>
        <v>273049.054943493</v>
      </c>
      <c r="G544" s="0" t="n">
        <f aca="false">TANH($E$1*B544*86.4/$G$1)</f>
        <v>0.910163516478309</v>
      </c>
      <c r="H544" s="0" t="n">
        <f aca="false">COSH($E$1*B544*86.4/$G$1)</f>
        <v>2.41400605482384</v>
      </c>
      <c r="I544" s="0" t="n">
        <f aca="false">(($G$1^2*1000)/($E$1*$I$1))*(H544-1)</f>
        <v>1.3711877022094</v>
      </c>
      <c r="J544" s="0" t="n">
        <f aca="false">$J$3*EXP(-$E$1*B544*86.4/$G$1)</f>
        <v>216.865815165443</v>
      </c>
      <c r="K544" s="0" t="n">
        <f aca="false">J543-J544</f>
        <v>0.613572999894274</v>
      </c>
    </row>
    <row r="545" customFormat="false" ht="12.8" hidden="false" customHeight="false" outlineLevel="0" collapsed="false">
      <c r="A545" s="0" t="n">
        <v>1</v>
      </c>
      <c r="B545" s="0" t="n">
        <f aca="false">B544+A545</f>
        <v>542</v>
      </c>
      <c r="C545" s="0" t="n">
        <f aca="false">$C$3+($G$1/($E$1*86.4))*SINH($E$1*B545*86.4/$G$1)</f>
        <v>45384.088791475</v>
      </c>
      <c r="D545" s="0" t="n">
        <f aca="false">C545-$C$3-B545</f>
        <v>238.088791474976</v>
      </c>
      <c r="E545" s="0" t="n">
        <f aca="false">$E$1*B545*86.4</f>
        <v>459390.528</v>
      </c>
      <c r="F545" s="0" t="n">
        <f aca="false">$G$1*G545</f>
        <v>273194.128930499</v>
      </c>
      <c r="G545" s="0" t="n">
        <f aca="false">TANH($E$1*B545*86.4/$G$1)</f>
        <v>0.910647096434995</v>
      </c>
      <c r="H545" s="0" t="n">
        <f aca="false">COSH($E$1*B545*86.4/$G$1)</f>
        <v>2.42022323401297</v>
      </c>
      <c r="I545" s="0" t="n">
        <f aca="false">(($G$1^2*1000)/($E$1*$I$1))*(H545-1)</f>
        <v>1.37721661532295</v>
      </c>
      <c r="J545" s="0" t="n">
        <f aca="false">$J$3*EXP(-$E$1*B545*86.4/$G$1)</f>
        <v>216.253973234545</v>
      </c>
      <c r="K545" s="0" t="n">
        <f aca="false">J544-J545</f>
        <v>0.611841930898009</v>
      </c>
    </row>
    <row r="546" customFormat="false" ht="12.8" hidden="false" customHeight="false" outlineLevel="0" collapsed="false">
      <c r="A546" s="0" t="n">
        <v>1</v>
      </c>
      <c r="B546" s="0" t="n">
        <f aca="false">B545+A546</f>
        <v>543</v>
      </c>
      <c r="C546" s="0" t="n">
        <f aca="false">$C$3+($G$1/($E$1*86.4))*SINH($E$1*B546*86.4/$G$1)</f>
        <v>45386.512131346</v>
      </c>
      <c r="D546" s="0" t="n">
        <f aca="false">C546-$C$3-B546</f>
        <v>239.512131345982</v>
      </c>
      <c r="E546" s="0" t="n">
        <f aca="false">$E$1*B546*86.4</f>
        <v>460238.112</v>
      </c>
      <c r="F546" s="0" t="n">
        <f aca="false">$G$1*G546</f>
        <v>273338.458332887</v>
      </c>
      <c r="G546" s="0" t="n">
        <f aca="false">TANH($E$1*B546*86.4/$G$1)</f>
        <v>0.911128194442955</v>
      </c>
      <c r="H546" s="0" t="n">
        <f aca="false">COSH($E$1*B546*86.4/$G$1)</f>
        <v>2.42645973193798</v>
      </c>
      <c r="I546" s="0" t="n">
        <f aca="false">(($G$1^2*1000)/($E$1*$I$1))*(H546-1)</f>
        <v>1.38326426217033</v>
      </c>
      <c r="J546" s="0" t="n">
        <f aca="false">$J$3*EXP(-$E$1*B546*86.4/$G$1)</f>
        <v>215.643857488791</v>
      </c>
      <c r="K546" s="0" t="n">
        <f aca="false">J545-J546</f>
        <v>0.610115745753831</v>
      </c>
    </row>
    <row r="547" customFormat="false" ht="12.8" hidden="false" customHeight="false" outlineLevel="0" collapsed="false">
      <c r="A547" s="0" t="n">
        <v>1</v>
      </c>
      <c r="B547" s="0" t="n">
        <f aca="false">B546+A547</f>
        <v>544</v>
      </c>
      <c r="C547" s="0" t="n">
        <f aca="false">$C$3+($G$1/($E$1*86.4))*SINH($E$1*B547*86.4/$G$1)</f>
        <v>45388.941717395</v>
      </c>
      <c r="D547" s="0" t="n">
        <f aca="false">C547-$C$3-B547</f>
        <v>240.941717395021</v>
      </c>
      <c r="E547" s="0" t="n">
        <f aca="false">$E$1*B547*86.4</f>
        <v>461085.696</v>
      </c>
      <c r="F547" s="0" t="n">
        <f aca="false">$G$1*G547</f>
        <v>273482.046581855</v>
      </c>
      <c r="G547" s="0" t="n">
        <f aca="false">TANH($E$1*B547*86.4/$G$1)</f>
        <v>0.911606821939518</v>
      </c>
      <c r="H547" s="0" t="n">
        <f aca="false">COSH($E$1*B547*86.4/$G$1)</f>
        <v>2.43271559837992</v>
      </c>
      <c r="I547" s="0" t="n">
        <f aca="false">(($G$1^2*1000)/($E$1*$I$1))*(H547-1)</f>
        <v>1.38933069102514</v>
      </c>
      <c r="J547" s="0" t="n">
        <f aca="false">$J$3*EXP(-$E$1*B547*86.4/$G$1)</f>
        <v>215.035463058108</v>
      </c>
      <c r="K547" s="0" t="n">
        <f aca="false">J546-J547</f>
        <v>0.608394430683291</v>
      </c>
    </row>
    <row r="548" customFormat="false" ht="12.8" hidden="false" customHeight="false" outlineLevel="0" collapsed="false">
      <c r="A548" s="0" t="n">
        <v>1</v>
      </c>
      <c r="B548" s="0" t="n">
        <f aca="false">B547+A548</f>
        <v>545</v>
      </c>
      <c r="C548" s="0" t="n">
        <f aca="false">$C$3+($G$1/($E$1*86.4))*SINH($E$1*B548*86.4/$G$1)</f>
        <v>45391.3775690156</v>
      </c>
      <c r="D548" s="0" t="n">
        <f aca="false">C548-$C$3-B548</f>
        <v>242.37756901556</v>
      </c>
      <c r="E548" s="0" t="n">
        <f aca="false">$E$1*B548*86.4</f>
        <v>461933.28</v>
      </c>
      <c r="F548" s="0" t="n">
        <f aca="false">$G$1*G548</f>
        <v>273624.897096998</v>
      </c>
      <c r="G548" s="0" t="n">
        <f aca="false">TANH($E$1*B548*86.4/$G$1)</f>
        <v>0.912082990323325</v>
      </c>
      <c r="H548" s="0" t="n">
        <f aca="false">COSH($E$1*B548*86.4/$G$1)</f>
        <v>2.43899088327445</v>
      </c>
      <c r="I548" s="0" t="n">
        <f aca="false">(($G$1^2*1000)/($E$1*$I$1))*(H548-1)</f>
        <v>1.3954159503109</v>
      </c>
      <c r="J548" s="0" t="n">
        <f aca="false">$J$3*EXP(-$E$1*B548*86.4/$G$1)</f>
        <v>214.428785086162</v>
      </c>
      <c r="K548" s="0" t="n">
        <f aca="false">J547-J548</f>
        <v>0.606677971946141</v>
      </c>
    </row>
    <row r="549" customFormat="false" ht="12.8" hidden="false" customHeight="false" outlineLevel="0" collapsed="false">
      <c r="A549" s="0" t="n">
        <v>1</v>
      </c>
      <c r="B549" s="0" t="n">
        <f aca="false">B548+A549</f>
        <v>546</v>
      </c>
      <c r="C549" s="0" t="n">
        <f aca="false">$C$3+($G$1/($E$1*86.4))*SINH($E$1*B549*86.4/$G$1)</f>
        <v>45393.8197056511</v>
      </c>
      <c r="D549" s="0" t="n">
        <f aca="false">C549-$C$3-B549</f>
        <v>243.819705651084</v>
      </c>
      <c r="E549" s="0" t="n">
        <f aca="false">$E$1*B549*86.4</f>
        <v>462780.864</v>
      </c>
      <c r="F549" s="0" t="n">
        <f aca="false">$G$1*G549</f>
        <v>273767.013286291</v>
      </c>
      <c r="G549" s="0" t="n">
        <f aca="false">TANH($E$1*B549*86.4/$G$1)</f>
        <v>0.912556710954302</v>
      </c>
      <c r="H549" s="0" t="n">
        <f aca="false">COSH($E$1*B549*86.4/$G$1)</f>
        <v>2.44528563671222</v>
      </c>
      <c r="I549" s="0" t="n">
        <f aca="false">(($G$1^2*1000)/($E$1*$I$1))*(H549-1)</f>
        <v>1.40152008860144</v>
      </c>
      <c r="J549" s="0" t="n">
        <f aca="false">$J$3*EXP(-$E$1*B549*86.4/$G$1)</f>
        <v>213.82381873032</v>
      </c>
      <c r="K549" s="0" t="n">
        <f aca="false">J548-J549</f>
        <v>0.604966355841498</v>
      </c>
    </row>
    <row r="550" customFormat="false" ht="12.8" hidden="false" customHeight="false" outlineLevel="0" collapsed="false">
      <c r="A550" s="0" t="n">
        <v>1</v>
      </c>
      <c r="B550" s="0" t="n">
        <f aca="false">B549+A550</f>
        <v>547</v>
      </c>
      <c r="C550" s="0" t="n">
        <f aca="false">$C$3+($G$1/($E$1*86.4))*SINH($E$1*B550*86.4/$G$1)</f>
        <v>45396.2681467953</v>
      </c>
      <c r="D550" s="0" t="n">
        <f aca="false">C550-$C$3-B550</f>
        <v>245.26814679525</v>
      </c>
      <c r="E550" s="0" t="n">
        <f aca="false">$E$1*B550*86.4</f>
        <v>463628.448</v>
      </c>
      <c r="F550" s="0" t="n">
        <f aca="false">$G$1*G550</f>
        <v>273908.398546091</v>
      </c>
      <c r="G550" s="0" t="n">
        <f aca="false">TANH($E$1*B550*86.4/$G$1)</f>
        <v>0.913027995153636</v>
      </c>
      <c r="H550" s="0" t="n">
        <f aca="false">COSH($E$1*B550*86.4/$G$1)</f>
        <v>2.45159990893929</v>
      </c>
      <c r="I550" s="0" t="n">
        <f aca="false">(($G$1^2*1000)/($E$1*$I$1))*(H550-1)</f>
        <v>1.4076431546213</v>
      </c>
      <c r="J550" s="0" t="n">
        <f aca="false">$J$3*EXP(-$E$1*B550*86.4/$G$1)</f>
        <v>213.220559161613</v>
      </c>
      <c r="K550" s="0" t="n">
        <f aca="false">J549-J550</f>
        <v>0.60325956870679</v>
      </c>
    </row>
    <row r="551" customFormat="false" ht="12.8" hidden="false" customHeight="false" outlineLevel="0" collapsed="false">
      <c r="A551" s="0" t="n">
        <v>1</v>
      </c>
      <c r="B551" s="0" t="n">
        <f aca="false">B550+A551</f>
        <v>548</v>
      </c>
      <c r="C551" s="0" t="n">
        <f aca="false">$C$3+($G$1/($E$1*86.4))*SINH($E$1*B551*86.4/$G$1)</f>
        <v>45398.722911992</v>
      </c>
      <c r="D551" s="0" t="n">
        <f aca="false">C551-$C$3-B551</f>
        <v>246.722911992023</v>
      </c>
      <c r="E551" s="0" t="n">
        <f aca="false">$E$1*B551*86.4</f>
        <v>464476.032</v>
      </c>
      <c r="F551" s="0" t="n">
        <f aca="false">$G$1*G551</f>
        <v>274049.056261126</v>
      </c>
      <c r="G551" s="0" t="n">
        <f aca="false">TANH($E$1*B551*86.4/$G$1)</f>
        <v>0.913496854203752</v>
      </c>
      <c r="H551" s="0" t="n">
        <f aca="false">COSH($E$1*B551*86.4/$G$1)</f>
        <v>2.45793375035752</v>
      </c>
      <c r="I551" s="0" t="n">
        <f aca="false">(($G$1^2*1000)/($E$1*$I$1))*(H551-1)</f>
        <v>1.41378519724608</v>
      </c>
      <c r="J551" s="0" t="n">
        <f aca="false">$J$3*EXP(-$E$1*B551*86.4/$G$1)</f>
        <v>212.619001564695</v>
      </c>
      <c r="K551" s="0" t="n">
        <f aca="false">J550-J551</f>
        <v>0.601557596918013</v>
      </c>
    </row>
    <row r="552" customFormat="false" ht="12.8" hidden="false" customHeight="false" outlineLevel="0" collapsed="false">
      <c r="A552" s="0" t="n">
        <v>1</v>
      </c>
      <c r="B552" s="0" t="n">
        <f aca="false">B551+A552</f>
        <v>549</v>
      </c>
      <c r="C552" s="0" t="n">
        <f aca="false">$C$3+($G$1/($E$1*86.4))*SINH($E$1*B552*86.4/$G$1)</f>
        <v>45401.1840208359</v>
      </c>
      <c r="D552" s="0" t="n">
        <f aca="false">C552-$C$3-B552</f>
        <v>248.184020835877</v>
      </c>
      <c r="E552" s="0" t="n">
        <f aca="false">$E$1*B552*86.4</f>
        <v>465323.616</v>
      </c>
      <c r="F552" s="0" t="n">
        <f aca="false">$G$1*G552</f>
        <v>274188.989804488</v>
      </c>
      <c r="G552" s="0" t="n">
        <f aca="false">TANH($E$1*B552*86.4/$G$1)</f>
        <v>0.913963299348293</v>
      </c>
      <c r="H552" s="0" t="n">
        <f aca="false">COSH($E$1*B552*86.4/$G$1)</f>
        <v>2.46428721152499</v>
      </c>
      <c r="I552" s="0" t="n">
        <f aca="false">(($G$1^2*1000)/($E$1*$I$1))*(H552-1)</f>
        <v>1.41994626550288</v>
      </c>
      <c r="J552" s="0" t="n">
        <f aca="false">$J$3*EXP(-$E$1*B552*86.4/$G$1)</f>
        <v>212.019141137806</v>
      </c>
      <c r="K552" s="0" t="n">
        <f aca="false">J551-J552</f>
        <v>0.599860426889762</v>
      </c>
    </row>
    <row r="553" customFormat="false" ht="12.8" hidden="false" customHeight="false" outlineLevel="0" collapsed="false">
      <c r="A553" s="0" t="n">
        <v>1</v>
      </c>
      <c r="B553" s="0" t="n">
        <f aca="false">B552+A553</f>
        <v>550</v>
      </c>
      <c r="C553" s="0" t="n">
        <f aca="false">$C$3+($G$1/($E$1*86.4))*SINH($E$1*B553*86.4/$G$1)</f>
        <v>45403.6514929719</v>
      </c>
      <c r="D553" s="0" t="n">
        <f aca="false">C553-$C$3-B553</f>
        <v>249.651492971898</v>
      </c>
      <c r="E553" s="0" t="n">
        <f aca="false">$E$1*B553*86.4</f>
        <v>466171.2</v>
      </c>
      <c r="F553" s="0" t="n">
        <f aca="false">$G$1*G553</f>
        <v>274328.20253763</v>
      </c>
      <c r="G553" s="0" t="n">
        <f aca="false">TANH($E$1*B553*86.4/$G$1)</f>
        <v>0.914427341792101</v>
      </c>
      <c r="H553" s="0" t="n">
        <f aca="false">COSH($E$1*B553*86.4/$G$1)</f>
        <v>2.47066034315636</v>
      </c>
      <c r="I553" s="0" t="n">
        <f aca="false">(($G$1^2*1000)/($E$1*$I$1))*(H553-1)</f>
        <v>1.42612640857065</v>
      </c>
      <c r="J553" s="0" t="n">
        <f aca="false">$J$3*EXP(-$E$1*B553*86.4/$G$1)</f>
        <v>211.420973092731</v>
      </c>
      <c r="K553" s="0" t="n">
        <f aca="false">J552-J553</f>
        <v>0.598168045074857</v>
      </c>
    </row>
    <row r="554" customFormat="false" ht="12.8" hidden="false" customHeight="false" outlineLevel="0" collapsed="false">
      <c r="A554" s="0" t="n">
        <v>1</v>
      </c>
      <c r="B554" s="0" t="n">
        <f aca="false">B553+A554</f>
        <v>551</v>
      </c>
      <c r="C554" s="0" t="n">
        <f aca="false">$C$3+($G$1/($E$1*86.4))*SINH($E$1*B554*86.4/$G$1)</f>
        <v>45406.125348096</v>
      </c>
      <c r="D554" s="0" t="n">
        <f aca="false">C554-$C$3-B554</f>
        <v>251.125348095964</v>
      </c>
      <c r="E554" s="0" t="n">
        <f aca="false">$E$1*B554*86.4</f>
        <v>467018.784</v>
      </c>
      <c r="F554" s="0" t="n">
        <f aca="false">$G$1*G554</f>
        <v>274466.69781036</v>
      </c>
      <c r="G554" s="0" t="n">
        <f aca="false">TANH($E$1*B554*86.4/$G$1)</f>
        <v>0.914888992701201</v>
      </c>
      <c r="H554" s="0" t="n">
        <f aca="false">COSH($E$1*B554*86.4/$G$1)</f>
        <v>2.47705319612334</v>
      </c>
      <c r="I554" s="0" t="n">
        <f aca="false">(($G$1^2*1000)/($E$1*$I$1))*(H554-1)</f>
        <v>1.4323256757806</v>
      </c>
      <c r="J554" s="0" t="n">
        <f aca="false">$J$3*EXP(-$E$1*B554*86.4/$G$1)</f>
        <v>210.824492654766</v>
      </c>
      <c r="K554" s="0" t="n">
        <f aca="false">J553-J554</f>
        <v>0.596480437964431</v>
      </c>
    </row>
    <row r="555" customFormat="false" ht="12.8" hidden="false" customHeight="false" outlineLevel="0" collapsed="false">
      <c r="A555" s="0" t="n">
        <v>1</v>
      </c>
      <c r="B555" s="0" t="n">
        <f aca="false">B554+A555</f>
        <v>552</v>
      </c>
      <c r="C555" s="0" t="n">
        <f aca="false">$C$3+($G$1/($E$1*86.4))*SINH($E$1*B555*86.4/$G$1)</f>
        <v>45408.6056059549</v>
      </c>
      <c r="D555" s="0" t="n">
        <f aca="false">C555-$C$3-B555</f>
        <v>252.60560595493</v>
      </c>
      <c r="E555" s="0" t="n">
        <f aca="false">$E$1*B555*86.4</f>
        <v>467866.368</v>
      </c>
      <c r="F555" s="0" t="n">
        <f aca="false">$G$1*G555</f>
        <v>274604.478960837</v>
      </c>
      <c r="G555" s="0" t="n">
        <f aca="false">TANH($E$1*B555*86.4/$G$1)</f>
        <v>0.915348263202789</v>
      </c>
      <c r="H555" s="0" t="n">
        <f aca="false">COSH($E$1*B555*86.4/$G$1)</f>
        <v>2.48346582145502</v>
      </c>
      <c r="I555" s="0" t="n">
        <f aca="false">(($G$1^2*1000)/($E$1*$I$1))*(H555-1)</f>
        <v>1.43854411661661</v>
      </c>
      <c r="J555" s="0" t="n">
        <f aca="false">$J$3*EXP(-$E$1*B555*86.4/$G$1)</f>
        <v>210.229695062679</v>
      </c>
      <c r="K555" s="0" t="n">
        <f aca="false">J554-J555</f>
        <v>0.594797592087417</v>
      </c>
    </row>
    <row r="556" customFormat="false" ht="12.8" hidden="false" customHeight="false" outlineLevel="0" collapsed="false">
      <c r="A556" s="0" t="n">
        <v>1</v>
      </c>
      <c r="B556" s="0" t="n">
        <f aca="false">B555+A556</f>
        <v>553</v>
      </c>
      <c r="C556" s="0" t="n">
        <f aca="false">$C$3+($G$1/($E$1*86.4))*SINH($E$1*B556*86.4/$G$1)</f>
        <v>45411.0922863467</v>
      </c>
      <c r="D556" s="0" t="n">
        <f aca="false">C556-$C$3-B556</f>
        <v>254.092286346728</v>
      </c>
      <c r="E556" s="0" t="n">
        <f aca="false">$E$1*B556*86.4</f>
        <v>468713.952</v>
      </c>
      <c r="F556" s="0" t="n">
        <f aca="false">$G$1*G556</f>
        <v>274741.549315565</v>
      </c>
      <c r="G556" s="0" t="n">
        <f aca="false">TANH($E$1*B556*86.4/$G$1)</f>
        <v>0.915805164385218</v>
      </c>
      <c r="H556" s="0" t="n">
        <f aca="false">COSH($E$1*B556*86.4/$G$1)</f>
        <v>2.48989827033834</v>
      </c>
      <c r="I556" s="0" t="n">
        <f aca="false">(($G$1^2*1000)/($E$1*$I$1))*(H556-1)</f>
        <v>1.44478178071558</v>
      </c>
      <c r="J556" s="0" t="n">
        <f aca="false">$J$3*EXP(-$E$1*B556*86.4/$G$1)</f>
        <v>209.636575568668</v>
      </c>
      <c r="K556" s="0" t="n">
        <f aca="false">J555-J556</f>
        <v>0.593119494011177</v>
      </c>
    </row>
    <row r="557" customFormat="false" ht="12.8" hidden="false" customHeight="false" outlineLevel="0" collapsed="false">
      <c r="A557" s="0" t="n">
        <v>1</v>
      </c>
      <c r="B557" s="0" t="n">
        <f aca="false">B556+A557</f>
        <v>554</v>
      </c>
      <c r="C557" s="0" t="n">
        <f aca="false">$C$3+($G$1/($E$1*86.4))*SINH($E$1*B557*86.4/$G$1)</f>
        <v>45413.5854091206</v>
      </c>
      <c r="D557" s="0" t="n">
        <f aca="false">C557-$C$3-B557</f>
        <v>255.585409120569</v>
      </c>
      <c r="E557" s="0" t="n">
        <f aca="false">$E$1*B557*86.4</f>
        <v>469561.536</v>
      </c>
      <c r="F557" s="0" t="n">
        <f aca="false">$G$1*G557</f>
        <v>274877.912189396</v>
      </c>
      <c r="G557" s="0" t="n">
        <f aca="false">TANH($E$1*B557*86.4/$G$1)</f>
        <v>0.916259707297987</v>
      </c>
      <c r="H557" s="0" t="n">
        <f aca="false">COSH($E$1*B557*86.4/$G$1)</f>
        <v>2.49635059411849</v>
      </c>
      <c r="I557" s="0" t="n">
        <f aca="false">(($G$1^2*1000)/($E$1*$I$1))*(H557-1)</f>
        <v>1.45103871786788</v>
      </c>
      <c r="J557" s="0" t="n">
        <f aca="false">$J$3*EXP(-$E$1*B557*86.4/$G$1)</f>
        <v>209.045129438327</v>
      </c>
      <c r="K557" s="0" t="n">
        <f aca="false">J556-J557</f>
        <v>0.5914461303407</v>
      </c>
    </row>
    <row r="558" customFormat="false" ht="12.8" hidden="false" customHeight="false" outlineLevel="0" collapsed="false">
      <c r="A558" s="0" t="n">
        <v>1</v>
      </c>
      <c r="B558" s="0" t="n">
        <f aca="false">B557+A558</f>
        <v>555</v>
      </c>
      <c r="C558" s="0" t="n">
        <f aca="false">$C$3+($G$1/($E$1*86.4))*SINH($E$1*B558*86.4/$G$1)</f>
        <v>45416.0849941771</v>
      </c>
      <c r="D558" s="0" t="n">
        <f aca="false">C558-$C$3-B558</f>
        <v>257.084994177094</v>
      </c>
      <c r="E558" s="0" t="n">
        <f aca="false">$E$1*B558*86.4</f>
        <v>470409.12</v>
      </c>
      <c r="F558" s="0" t="n">
        <f aca="false">$G$1*G558</f>
        <v>275013.570885521</v>
      </c>
      <c r="G558" s="0" t="n">
        <f aca="false">TANH($E$1*B558*86.4/$G$1)</f>
        <v>0.916711902951737</v>
      </c>
      <c r="H558" s="0" t="n">
        <f aca="false">COSH($E$1*B558*86.4/$G$1)</f>
        <v>2.50282284429927</v>
      </c>
      <c r="I558" s="0" t="n">
        <f aca="false">(($G$1^2*1000)/($E$1*$I$1))*(H558-1)</f>
        <v>1.45731497801771</v>
      </c>
      <c r="J558" s="0" t="n">
        <f aca="false">$J$3*EXP(-$E$1*B558*86.4/$G$1)</f>
        <v>208.455351950608</v>
      </c>
      <c r="K558" s="0" t="n">
        <f aca="false">J557-J558</f>
        <v>0.589777487718806</v>
      </c>
    </row>
    <row r="559" customFormat="false" ht="12.8" hidden="false" customHeight="false" outlineLevel="0" collapsed="false">
      <c r="A559" s="0" t="n">
        <v>1</v>
      </c>
      <c r="B559" s="0" t="n">
        <f aca="false">B558+A559</f>
        <v>556</v>
      </c>
      <c r="C559" s="0" t="n">
        <f aca="false">$C$3+($G$1/($E$1*86.4))*SINH($E$1*B559*86.4/$G$1)</f>
        <v>45418.5910614685</v>
      </c>
      <c r="D559" s="0" t="n">
        <f aca="false">C559-$C$3-B559</f>
        <v>258.59106146852</v>
      </c>
      <c r="E559" s="0" t="n">
        <f aca="false">$E$1*B559*86.4</f>
        <v>471256.704</v>
      </c>
      <c r="F559" s="0" t="n">
        <f aca="false">$G$1*G559</f>
        <v>275148.528695473</v>
      </c>
      <c r="G559" s="0" t="n">
        <f aca="false">TANH($E$1*B559*86.4/$G$1)</f>
        <v>0.917161762318242</v>
      </c>
      <c r="H559" s="0" t="n">
        <f aca="false">COSH($E$1*B559*86.4/$G$1)</f>
        <v>2.50931507254356</v>
      </c>
      <c r="I559" s="0" t="n">
        <f aca="false">(($G$1^2*1000)/($E$1*$I$1))*(H559-1)</f>
        <v>1.46361061126351</v>
      </c>
      <c r="J559" s="0" t="n">
        <f aca="false">$J$3*EXP(-$E$1*B559*86.4/$G$1)</f>
        <v>207.867238397782</v>
      </c>
      <c r="K559" s="0" t="n">
        <f aca="false">J558-J559</f>
        <v>0.588113552826115</v>
      </c>
    </row>
    <row r="560" customFormat="false" ht="12.8" hidden="false" customHeight="false" outlineLevel="0" collapsed="false">
      <c r="A560" s="0" t="n">
        <v>1</v>
      </c>
      <c r="B560" s="0" t="n">
        <f aca="false">B559+A560</f>
        <v>557</v>
      </c>
      <c r="C560" s="0" t="n">
        <f aca="false">$C$3+($G$1/($E$1*86.4))*SINH($E$1*B560*86.4/$G$1)</f>
        <v>45421.1036309988</v>
      </c>
      <c r="D560" s="0" t="n">
        <f aca="false">C560-$C$3-B560</f>
        <v>260.103630998805</v>
      </c>
      <c r="E560" s="0" t="n">
        <f aca="false">$E$1*B560*86.4</f>
        <v>472104.288</v>
      </c>
      <c r="F560" s="0" t="n">
        <f aca="false">$G$1*G560</f>
        <v>275282.788899122</v>
      </c>
      <c r="G560" s="0" t="n">
        <f aca="false">TANH($E$1*B560*86.4/$G$1)</f>
        <v>0.917609296330407</v>
      </c>
      <c r="H560" s="0" t="n">
        <f aca="false">COSH($E$1*B560*86.4/$G$1)</f>
        <v>2.51582733067371</v>
      </c>
      <c r="I560" s="0" t="n">
        <f aca="false">(($G$1^2*1000)/($E$1*$I$1))*(H560-1)</f>
        <v>1.46992566785837</v>
      </c>
      <c r="J560" s="0" t="n">
        <f aca="false">$J$3*EXP(-$E$1*B560*86.4/$G$1)</f>
        <v>207.280784085401</v>
      </c>
      <c r="K560" s="0" t="n">
        <f aca="false">J559-J560</f>
        <v>0.58645431238071</v>
      </c>
    </row>
    <row r="561" customFormat="false" ht="12.8" hidden="false" customHeight="false" outlineLevel="0" collapsed="false">
      <c r="A561" s="0" t="n">
        <v>1</v>
      </c>
      <c r="B561" s="0" t="n">
        <f aca="false">B560+A561</f>
        <v>558</v>
      </c>
      <c r="C561" s="0" t="n">
        <f aca="false">$C$3+($G$1/($E$1*86.4))*SINH($E$1*B561*86.4/$G$1)</f>
        <v>45423.6227228238</v>
      </c>
      <c r="D561" s="0" t="n">
        <f aca="false">C561-$C$3-B561</f>
        <v>261.62272282382</v>
      </c>
      <c r="E561" s="0" t="n">
        <f aca="false">$E$1*B561*86.4</f>
        <v>472951.872</v>
      </c>
      <c r="F561" s="0" t="n">
        <f aca="false">$G$1*G561</f>
        <v>275416.35476468</v>
      </c>
      <c r="G561" s="0" t="n">
        <f aca="false">TANH($E$1*B561*86.4/$G$1)</f>
        <v>0.918054515882265</v>
      </c>
      <c r="H561" s="0" t="n">
        <f aca="false">COSH($E$1*B561*86.4/$G$1)</f>
        <v>2.52235967067195</v>
      </c>
      <c r="I561" s="0" t="n">
        <f aca="false">(($G$1^2*1000)/($E$1*$I$1))*(H561-1)</f>
        <v>1.47626019821039</v>
      </c>
      <c r="J561" s="0" t="n">
        <f aca="false">$J$3*EXP(-$E$1*B561*86.4/$G$1)</f>
        <v>206.695984332263</v>
      </c>
      <c r="K561" s="0" t="n">
        <f aca="false">J560-J561</f>
        <v>0.584799753138242</v>
      </c>
    </row>
    <row r="562" customFormat="false" ht="12.8" hidden="false" customHeight="false" outlineLevel="0" collapsed="false">
      <c r="A562" s="0" t="n">
        <v>1</v>
      </c>
      <c r="B562" s="0" t="n">
        <f aca="false">B561+A562</f>
        <v>559</v>
      </c>
      <c r="C562" s="0" t="n">
        <f aca="false">$C$3+($G$1/($E$1*86.4))*SINH($E$1*B562*86.4/$G$1)</f>
        <v>45426.1483570515</v>
      </c>
      <c r="D562" s="0" t="n">
        <f aca="false">C562-$C$3-B562</f>
        <v>263.148357051483</v>
      </c>
      <c r="E562" s="0" t="n">
        <f aca="false">$E$1*B562*86.4</f>
        <v>473799.456</v>
      </c>
      <c r="F562" s="0" t="n">
        <f aca="false">$G$1*G562</f>
        <v>275549.229548693</v>
      </c>
      <c r="G562" s="0" t="n">
        <f aca="false">TANH($E$1*B562*86.4/$G$1)</f>
        <v>0.918497431828978</v>
      </c>
      <c r="H562" s="0" t="n">
        <f aca="false">COSH($E$1*B562*86.4/$G$1)</f>
        <v>2.5289121446808</v>
      </c>
      <c r="I562" s="0" t="n">
        <f aca="false">(($G$1^2*1000)/($E$1*$I$1))*(H562-1)</f>
        <v>1.48261425288316</v>
      </c>
      <c r="J562" s="0" t="n">
        <f aca="false">$J$3*EXP(-$E$1*B562*86.4/$G$1)</f>
        <v>206.112834470372</v>
      </c>
      <c r="K562" s="0" t="n">
        <f aca="false">J561-J562</f>
        <v>0.583149861891428</v>
      </c>
    </row>
    <row r="563" customFormat="false" ht="12.8" hidden="false" customHeight="false" outlineLevel="0" collapsed="false">
      <c r="A563" s="0" t="n">
        <v>1</v>
      </c>
      <c r="B563" s="0" t="n">
        <f aca="false">B562+A563</f>
        <v>560</v>
      </c>
      <c r="C563" s="0" t="n">
        <f aca="false">$C$3+($G$1/($E$1*86.4))*SINH($E$1*B563*86.4/$G$1)</f>
        <v>45428.680553842</v>
      </c>
      <c r="D563" s="0" t="n">
        <f aca="false">C563-$C$3-B563</f>
        <v>264.68055384195</v>
      </c>
      <c r="E563" s="0" t="n">
        <f aca="false">$E$1*B563*86.4</f>
        <v>474647.04</v>
      </c>
      <c r="F563" s="0" t="n">
        <f aca="false">$G$1*G563</f>
        <v>275681.416496051</v>
      </c>
      <c r="G563" s="0" t="n">
        <f aca="false">TANH($E$1*B563*86.4/$G$1)</f>
        <v>0.918938054986838</v>
      </c>
      <c r="H563" s="0" t="n">
        <f aca="false">COSH($E$1*B563*86.4/$G$1)</f>
        <v>2.53548480500349</v>
      </c>
      <c r="I563" s="0" t="n">
        <f aca="false">(($G$1^2*1000)/($E$1*$I$1))*(H563-1)</f>
        <v>1.48898788259609</v>
      </c>
      <c r="J563" s="0" t="n">
        <f aca="false">$J$3*EXP(-$E$1*B563*86.4/$G$1)</f>
        <v>205.531329844901</v>
      </c>
      <c r="K563" s="0" t="n">
        <f aca="false">J562-J563</f>
        <v>0.581504625470871</v>
      </c>
    </row>
    <row r="564" customFormat="false" ht="12.8" hidden="false" customHeight="false" outlineLevel="0" collapsed="false">
      <c r="A564" s="0" t="n">
        <v>1</v>
      </c>
      <c r="B564" s="0" t="n">
        <f aca="false">B563+A564</f>
        <v>561</v>
      </c>
      <c r="C564" s="0" t="n">
        <f aca="false">$C$3+($G$1/($E$1*86.4))*SINH($E$1*B564*86.4/$G$1)</f>
        <v>45431.2193334078</v>
      </c>
      <c r="D564" s="0" t="n">
        <f aca="false">C564-$C$3-B564</f>
        <v>266.219333407753</v>
      </c>
      <c r="E564" s="0" t="n">
        <f aca="false">$E$1*B564*86.4</f>
        <v>475494.624</v>
      </c>
      <c r="F564" s="0" t="n">
        <f aca="false">$G$1*G564</f>
        <v>275812.918839981</v>
      </c>
      <c r="G564" s="0" t="n">
        <f aca="false">TANH($E$1*B564*86.4/$G$1)</f>
        <v>0.919376396133271</v>
      </c>
      <c r="H564" s="0" t="n">
        <f aca="false">COSH($E$1*B564*86.4/$G$1)</f>
        <v>2.54207770410441</v>
      </c>
      <c r="I564" s="0" t="n">
        <f aca="false">(($G$1^2*1000)/($E$1*$I$1))*(H564-1)</f>
        <v>1.49538113822483</v>
      </c>
      <c r="J564" s="0" t="n">
        <f aca="false">$J$3*EXP(-$E$1*B564*86.4/$G$1)</f>
        <v>204.951465814157</v>
      </c>
      <c r="K564" s="0" t="n">
        <f aca="false">J563-J564</f>
        <v>0.579864030743607</v>
      </c>
    </row>
    <row r="565" customFormat="false" ht="12.8" hidden="false" customHeight="false" outlineLevel="0" collapsed="false">
      <c r="A565" s="0" t="n">
        <v>1</v>
      </c>
      <c r="B565" s="0" t="n">
        <f aca="false">B564+A565</f>
        <v>562</v>
      </c>
      <c r="C565" s="0" t="n">
        <f aca="false">$C$3+($G$1/($E$1*86.4))*SINH($E$1*B565*86.4/$G$1)</f>
        <v>45433.764716014</v>
      </c>
      <c r="D565" s="0" t="n">
        <f aca="false">C565-$C$3-B565</f>
        <v>267.76471601396</v>
      </c>
      <c r="E565" s="0" t="n">
        <f aca="false">$E$1*B565*86.4</f>
        <v>476342.208</v>
      </c>
      <c r="F565" s="0" t="n">
        <f aca="false">$G$1*G565</f>
        <v>275943.739802053</v>
      </c>
      <c r="G565" s="0" t="n">
        <f aca="false">TANH($E$1*B565*86.4/$G$1)</f>
        <v>0.919812466006844</v>
      </c>
      <c r="H565" s="0" t="n">
        <f aca="false">COSH($E$1*B565*86.4/$G$1)</f>
        <v>2.54869089460947</v>
      </c>
      <c r="I565" s="0" t="n">
        <f aca="false">(($G$1^2*1000)/($E$1*$I$1))*(H565-1)</f>
        <v>1.50179407080173</v>
      </c>
      <c r="J565" s="0" t="n">
        <f aca="false">$J$3*EXP(-$E$1*B565*86.4/$G$1)</f>
        <v>204.373237749543</v>
      </c>
      <c r="K565" s="0" t="n">
        <f aca="false">J564-J565</f>
        <v>0.578228064614308</v>
      </c>
    </row>
    <row r="566" customFormat="false" ht="12.8" hidden="false" customHeight="false" outlineLevel="0" collapsed="false">
      <c r="A566" s="0" t="n">
        <v>1</v>
      </c>
      <c r="B566" s="0" t="n">
        <f aca="false">B565+A566</f>
        <v>563</v>
      </c>
      <c r="C566" s="0" t="n">
        <f aca="false">$C$3+($G$1/($E$1*86.4))*SINH($E$1*B566*86.4/$G$1)</f>
        <v>45436.3167219784</v>
      </c>
      <c r="D566" s="0" t="n">
        <f aca="false">C566-$C$3-B566</f>
        <v>269.316721978365</v>
      </c>
      <c r="E566" s="0" t="n">
        <f aca="false">$E$1*B566*86.4</f>
        <v>477189.792</v>
      </c>
      <c r="F566" s="0" t="n">
        <f aca="false">$G$1*G566</f>
        <v>276073.882592181</v>
      </c>
      <c r="G566" s="0" t="n">
        <f aca="false">TANH($E$1*B566*86.4/$G$1)</f>
        <v>0.920246275307271</v>
      </c>
      <c r="H566" s="0" t="n">
        <f aca="false">COSH($E$1*B566*86.4/$G$1)</f>
        <v>2.55532442930656</v>
      </c>
      <c r="I566" s="0" t="n">
        <f aca="false">(($G$1^2*1000)/($E$1*$I$1))*(H566-1)</f>
        <v>1.50822673151615</v>
      </c>
      <c r="J566" s="0" t="n">
        <f aca="false">$J$3*EXP(-$E$1*B566*86.4/$G$1)</f>
        <v>203.796641035519</v>
      </c>
      <c r="K566" s="0" t="n">
        <f aca="false">J565-J566</f>
        <v>0.576596714024106</v>
      </c>
    </row>
    <row r="567" customFormat="false" ht="12.8" hidden="false" customHeight="false" outlineLevel="0" collapsed="false">
      <c r="A567" s="0" t="n">
        <v>1</v>
      </c>
      <c r="B567" s="0" t="n">
        <f aca="false">B566+A567</f>
        <v>564</v>
      </c>
      <c r="C567" s="0" t="n">
        <f aca="false">$C$3+($G$1/($E$1*86.4))*SINH($E$1*B567*86.4/$G$1)</f>
        <v>45438.8753716716</v>
      </c>
      <c r="D567" s="0" t="n">
        <f aca="false">C567-$C$3-B567</f>
        <v>270.875371671616</v>
      </c>
      <c r="E567" s="0" t="n">
        <f aca="false">$E$1*B567*86.4</f>
        <v>478037.376</v>
      </c>
      <c r="F567" s="0" t="n">
        <f aca="false">$G$1*G567</f>
        <v>276203.350408627</v>
      </c>
      <c r="G567" s="0" t="n">
        <f aca="false">TANH($E$1*B567*86.4/$G$1)</f>
        <v>0.920677834695424</v>
      </c>
      <c r="H567" s="0" t="n">
        <f aca="false">COSH($E$1*B567*86.4/$G$1)</f>
        <v>2.56197836114596</v>
      </c>
      <c r="I567" s="0" t="n">
        <f aca="false">(($G$1^2*1000)/($E$1*$I$1))*(H567-1)</f>
        <v>1.51467917171498</v>
      </c>
      <c r="J567" s="0" t="n">
        <f aca="false">$J$3*EXP(-$E$1*B567*86.4/$G$1)</f>
        <v>203.221671069567</v>
      </c>
      <c r="K567" s="0" t="n">
        <f aca="false">J566-J567</f>
        <v>0.574969965951368</v>
      </c>
    </row>
    <row r="568" customFormat="false" ht="12.8" hidden="false" customHeight="false" outlineLevel="0" collapsed="false">
      <c r="A568" s="0" t="n">
        <v>1</v>
      </c>
      <c r="B568" s="0" t="n">
        <f aca="false">B567+A568</f>
        <v>565</v>
      </c>
      <c r="C568" s="0" t="n">
        <f aca="false">$C$3+($G$1/($E$1*86.4))*SINH($E$1*B568*86.4/$G$1)</f>
        <v>45441.4406855174</v>
      </c>
      <c r="D568" s="0" t="n">
        <f aca="false">C568-$C$3-B568</f>
        <v>272.440685517409</v>
      </c>
      <c r="E568" s="0" t="n">
        <f aca="false">$E$1*B568*86.4</f>
        <v>478884.96</v>
      </c>
      <c r="F568" s="0" t="n">
        <f aca="false">$G$1*G568</f>
        <v>276332.146438002</v>
      </c>
      <c r="G568" s="0" t="n">
        <f aca="false">TANH($E$1*B568*86.4/$G$1)</f>
        <v>0.92110715479334</v>
      </c>
      <c r="H568" s="0" t="n">
        <f aca="false">COSH($E$1*B568*86.4/$G$1)</f>
        <v>2.56865274324078</v>
      </c>
      <c r="I568" s="0" t="n">
        <f aca="false">(($G$1^2*1000)/($E$1*$I$1))*(H568-1)</f>
        <v>1.52115144290296</v>
      </c>
      <c r="J568" s="0" t="n">
        <f aca="false">$J$3*EXP(-$E$1*B568*86.4/$G$1)</f>
        <v>202.648323262156</v>
      </c>
      <c r="K568" s="0" t="n">
        <f aca="false">J567-J568</f>
        <v>0.573347807411125</v>
      </c>
    </row>
    <row r="569" customFormat="false" ht="12.8" hidden="false" customHeight="false" outlineLevel="0" collapsed="false">
      <c r="A569" s="0" t="n">
        <v>1</v>
      </c>
      <c r="B569" s="0" t="n">
        <f aca="false">B568+A569</f>
        <v>566</v>
      </c>
      <c r="C569" s="0" t="n">
        <f aca="false">$C$3+($G$1/($E$1*86.4))*SINH($E$1*B569*86.4/$G$1)</f>
        <v>45444.0126839926</v>
      </c>
      <c r="D569" s="0" t="n">
        <f aca="false">C569-$C$3-B569</f>
        <v>274.012683992609</v>
      </c>
      <c r="E569" s="0" t="n">
        <f aca="false">$E$1*B569*86.4</f>
        <v>479732.544</v>
      </c>
      <c r="F569" s="0" t="n">
        <f aca="false">$G$1*G569</f>
        <v>276460.273855273</v>
      </c>
      <c r="G569" s="0" t="n">
        <f aca="false">TANH($E$1*B569*86.4/$G$1)</f>
        <v>0.921534246184242</v>
      </c>
      <c r="H569" s="0" t="n">
        <f aca="false">COSH($E$1*B569*86.4/$G$1)</f>
        <v>2.57534762886734</v>
      </c>
      <c r="I569" s="0" t="n">
        <f aca="false">(($G$1^2*1000)/($E$1*$I$1))*(H569-1)</f>
        <v>1.52764359674313</v>
      </c>
      <c r="J569" s="0" t="n">
        <f aca="false">$J$3*EXP(-$E$1*B569*86.4/$G$1)</f>
        <v>202.076593036702</v>
      </c>
      <c r="K569" s="0" t="n">
        <f aca="false">J568-J569</f>
        <v>0.571730225454701</v>
      </c>
    </row>
    <row r="570" customFormat="false" ht="12.8" hidden="false" customHeight="false" outlineLevel="0" collapsed="false">
      <c r="A570" s="0" t="n">
        <v>1</v>
      </c>
      <c r="B570" s="0" t="n">
        <f aca="false">B569+A570</f>
        <v>567</v>
      </c>
      <c r="C570" s="0" t="n">
        <f aca="false">$C$3+($G$1/($E$1*86.4))*SINH($E$1*B570*86.4/$G$1)</f>
        <v>45446.5913876275</v>
      </c>
      <c r="D570" s="0" t="n">
        <f aca="false">C570-$C$3-B570</f>
        <v>275.591387627464</v>
      </c>
      <c r="E570" s="0" t="n">
        <f aca="false">$E$1*B570*86.4</f>
        <v>480580.128</v>
      </c>
      <c r="F570" s="0" t="n">
        <f aca="false">$G$1*G570</f>
        <v>276587.735823763</v>
      </c>
      <c r="G570" s="0" t="n">
        <f aca="false">TANH($E$1*B570*86.4/$G$1)</f>
        <v>0.921959119412544</v>
      </c>
      <c r="H570" s="0" t="n">
        <f aca="false">COSH($E$1*B570*86.4/$G$1)</f>
        <v>2.58206307146565</v>
      </c>
      <c r="I570" s="0" t="n">
        <f aca="false">(($G$1^2*1000)/($E$1*$I$1))*(H570-1)</f>
        <v>1.53415568505723</v>
      </c>
      <c r="J570" s="0" t="n">
        <f aca="false">$J$3*EXP(-$E$1*B570*86.4/$G$1)</f>
        <v>201.506475829531</v>
      </c>
      <c r="K570" s="0" t="n">
        <f aca="false">J569-J570</f>
        <v>0.570117207170455</v>
      </c>
    </row>
    <row r="571" customFormat="false" ht="12.8" hidden="false" customHeight="false" outlineLevel="0" collapsed="false">
      <c r="A571" s="0" t="n">
        <v>1</v>
      </c>
      <c r="B571" s="0" t="n">
        <f aca="false">B570+A571</f>
        <v>568</v>
      </c>
      <c r="C571" s="0" t="n">
        <f aca="false">$C$3+($G$1/($E$1*86.4))*SINH($E$1*B571*86.4/$G$1)</f>
        <v>45449.1768170057</v>
      </c>
      <c r="D571" s="0" t="n">
        <f aca="false">C571-$C$3-B571</f>
        <v>277.176817005733</v>
      </c>
      <c r="E571" s="0" t="n">
        <f aca="false">$E$1*B571*86.4</f>
        <v>481427.712</v>
      </c>
      <c r="F571" s="0" t="n">
        <f aca="false">$G$1*G571</f>
        <v>276714.535495163</v>
      </c>
      <c r="G571" s="0" t="n">
        <f aca="false">TANH($E$1*B571*86.4/$G$1)</f>
        <v>0.922381784983875</v>
      </c>
      <c r="H571" s="0" t="n">
        <f aca="false">COSH($E$1*B571*86.4/$G$1)</f>
        <v>2.5887991246398</v>
      </c>
      <c r="I571" s="0" t="n">
        <f aca="false">(($G$1^2*1000)/($E$1*$I$1))*(H571-1)</f>
        <v>1.54068775982616</v>
      </c>
      <c r="J571" s="0" t="n">
        <f aca="false">$J$3*EXP(-$E$1*B571*86.4/$G$1)</f>
        <v>200.937967089848</v>
      </c>
      <c r="K571" s="0" t="n">
        <f aca="false">J570-J571</f>
        <v>0.568508739682756</v>
      </c>
    </row>
    <row r="572" customFormat="false" ht="12.8" hidden="false" customHeight="false" outlineLevel="0" collapsed="false">
      <c r="A572" s="0" t="n">
        <v>1</v>
      </c>
      <c r="B572" s="0" t="n">
        <f aca="false">B571+A572</f>
        <v>569</v>
      </c>
      <c r="C572" s="0" t="n">
        <f aca="false">$C$3+($G$1/($E$1*86.4))*SINH($E$1*B572*86.4/$G$1)</f>
        <v>45451.7689927649</v>
      </c>
      <c r="D572" s="0" t="n">
        <f aca="false">C572-$C$3-B572</f>
        <v>278.768992764853</v>
      </c>
      <c r="E572" s="0" t="n">
        <f aca="false">$E$1*B572*86.4</f>
        <v>482275.296</v>
      </c>
      <c r="F572" s="0" t="n">
        <f aca="false">$G$1*G572</f>
        <v>276840.676009528</v>
      </c>
      <c r="G572" s="0" t="n">
        <f aca="false">TANH($E$1*B572*86.4/$G$1)</f>
        <v>0.922802253365093</v>
      </c>
      <c r="H572" s="0" t="n">
        <f aca="false">COSH($E$1*B572*86.4/$G$1)</f>
        <v>2.59555584215839</v>
      </c>
      <c r="I572" s="0" t="n">
        <f aca="false">(($G$1^2*1000)/($E$1*$I$1))*(H572-1)</f>
        <v>1.5472398731903</v>
      </c>
      <c r="J572" s="0" t="n">
        <f aca="false">$J$3*EXP(-$E$1*B572*86.4/$G$1)</f>
        <v>200.371062279696</v>
      </c>
      <c r="K572" s="0" t="n">
        <f aca="false">J571-J572</f>
        <v>0.566904810152693</v>
      </c>
    </row>
    <row r="573" customFormat="false" ht="12.8" hidden="false" customHeight="false" outlineLevel="0" collapsed="false">
      <c r="A573" s="0" t="n">
        <v>1</v>
      </c>
      <c r="B573" s="0" t="n">
        <f aca="false">B572+A573</f>
        <v>570</v>
      </c>
      <c r="C573" s="0" t="n">
        <f aca="false">$C$3+($G$1/($E$1*86.4))*SINH($E$1*B573*86.4/$G$1)</f>
        <v>45454.3679355961</v>
      </c>
      <c r="D573" s="0" t="n">
        <f aca="false">C573-$C$3-B573</f>
        <v>280.367935596136</v>
      </c>
      <c r="E573" s="0" t="n">
        <f aca="false">$E$1*B573*86.4</f>
        <v>483122.88</v>
      </c>
      <c r="F573" s="0" t="n">
        <f aca="false">$G$1*G573</f>
        <v>276966.160495292</v>
      </c>
      <c r="G573" s="0" t="n">
        <f aca="false">TANH($E$1*B573*86.4/$G$1)</f>
        <v>0.923220534984307</v>
      </c>
      <c r="H573" s="0" t="n">
        <f aca="false">COSH($E$1*B573*86.4/$G$1)</f>
        <v>2.60233327795498</v>
      </c>
      <c r="I573" s="0" t="n">
        <f aca="false">(($G$1^2*1000)/($E$1*$I$1))*(H573-1)</f>
        <v>1.55381207745003</v>
      </c>
      <c r="J573" s="0" t="n">
        <f aca="false">$J$3*EXP(-$E$1*B573*86.4/$G$1)</f>
        <v>199.805756873919</v>
      </c>
      <c r="K573" s="0" t="n">
        <f aca="false">J572-J573</f>
        <v>0.565305405777195</v>
      </c>
    </row>
    <row r="574" customFormat="false" ht="12.8" hidden="false" customHeight="false" outlineLevel="0" collapsed="false">
      <c r="A574" s="0" t="n">
        <v>1</v>
      </c>
      <c r="B574" s="0" t="n">
        <f aca="false">B573+A574</f>
        <v>571</v>
      </c>
      <c r="C574" s="0" t="n">
        <f aca="false">$C$3+($G$1/($E$1*86.4))*SINH($E$1*B574*86.4/$G$1)</f>
        <v>45456.9736662449</v>
      </c>
      <c r="D574" s="0" t="n">
        <f aca="false">C574-$C$3-B574</f>
        <v>281.973666244892</v>
      </c>
      <c r="E574" s="0" t="n">
        <f aca="false">$E$1*B574*86.4</f>
        <v>483970.464</v>
      </c>
      <c r="F574" s="0" t="n">
        <f aca="false">$G$1*G574</f>
        <v>277090.992069269</v>
      </c>
      <c r="G574" s="0" t="n">
        <f aca="false">TANH($E$1*B574*86.4/$G$1)</f>
        <v>0.923636640230895</v>
      </c>
      <c r="H574" s="0" t="n">
        <f aca="false">COSH($E$1*B574*86.4/$G$1)</f>
        <v>2.60913148612849</v>
      </c>
      <c r="I574" s="0" t="n">
        <f aca="false">(($G$1^2*1000)/($E$1*$I$1))*(H574-1)</f>
        <v>1.56040442506607</v>
      </c>
      <c r="J574" s="0" t="n">
        <f aca="false">$J$3*EXP(-$E$1*B574*86.4/$G$1)</f>
        <v>199.242046360129</v>
      </c>
      <c r="K574" s="0" t="n">
        <f aca="false">J573-J574</f>
        <v>0.563710513789346</v>
      </c>
    </row>
    <row r="575" customFormat="false" ht="12.8" hidden="false" customHeight="false" outlineLevel="0" collapsed="false">
      <c r="A575" s="0" t="n">
        <v>1</v>
      </c>
      <c r="B575" s="0" t="n">
        <f aca="false">B574+A575</f>
        <v>572</v>
      </c>
      <c r="C575" s="0" t="n">
        <f aca="false">$C$3+($G$1/($E$1*86.4))*SINH($E$1*B575*86.4/$G$1)</f>
        <v>45459.5862055106</v>
      </c>
      <c r="D575" s="0" t="n">
        <f aca="false">C575-$C$3-B575</f>
        <v>283.586205510605</v>
      </c>
      <c r="E575" s="0" t="n">
        <f aca="false">$E$1*B575*86.4</f>
        <v>484818.048</v>
      </c>
      <c r="F575" s="0" t="n">
        <f aca="false">$G$1*G575</f>
        <v>277215.17383666</v>
      </c>
      <c r="G575" s="0" t="n">
        <f aca="false">TANH($E$1*B575*86.4/$G$1)</f>
        <v>0.924050579455533</v>
      </c>
      <c r="H575" s="0" t="n">
        <f aca="false">COSH($E$1*B575*86.4/$G$1)</f>
        <v>2.61595052094368</v>
      </c>
      <c r="I575" s="0" t="n">
        <f aca="false">(($G$1^2*1000)/($E$1*$I$1))*(H575-1)</f>
        <v>1.56701696865994</v>
      </c>
      <c r="J575" s="0" t="n">
        <f aca="false">$J$3*EXP(-$E$1*B575*86.4/$G$1)</f>
        <v>198.67992623867</v>
      </c>
      <c r="K575" s="0" t="n">
        <f aca="false">J574-J575</f>
        <v>0.562120121458804</v>
      </c>
    </row>
    <row r="576" customFormat="false" ht="12.8" hidden="false" customHeight="false" outlineLevel="0" collapsed="false">
      <c r="A576" s="0" t="n">
        <v>1</v>
      </c>
      <c r="B576" s="0" t="n">
        <f aca="false">B575+A576</f>
        <v>573</v>
      </c>
      <c r="C576" s="0" t="n">
        <f aca="false">$C$3+($G$1/($E$1*86.4))*SINH($E$1*B576*86.4/$G$1)</f>
        <v>45462.2055742471</v>
      </c>
      <c r="D576" s="0" t="n">
        <f aca="false">C576-$C$3-B576</f>
        <v>285.205574247135</v>
      </c>
      <c r="E576" s="0" t="n">
        <f aca="false">$E$1*B576*86.4</f>
        <v>485665.632</v>
      </c>
      <c r="F576" s="0" t="n">
        <f aca="false">$G$1*G576</f>
        <v>277338.708891063</v>
      </c>
      <c r="G576" s="0" t="n">
        <f aca="false">TANH($E$1*B576*86.4/$G$1)</f>
        <v>0.924462362970211</v>
      </c>
      <c r="H576" s="0" t="n">
        <f aca="false">COSH($E$1*B576*86.4/$G$1)</f>
        <v>2.62279043683152</v>
      </c>
      <c r="I576" s="0" t="n">
        <f aca="false">(($G$1^2*1000)/($E$1*$I$1))*(H576-1)</f>
        <v>1.57364976101437</v>
      </c>
      <c r="J576" s="0" t="n">
        <f aca="false">$J$3*EXP(-$E$1*B576*86.4/$G$1)</f>
        <v>198.11939202258</v>
      </c>
      <c r="K576" s="0" t="n">
        <f aca="false">J575-J576</f>
        <v>0.560534216090247</v>
      </c>
    </row>
    <row r="577" customFormat="false" ht="12.8" hidden="false" customHeight="false" outlineLevel="0" collapsed="false">
      <c r="A577" s="0" t="n">
        <v>1</v>
      </c>
      <c r="B577" s="0" t="n">
        <f aca="false">B576+A577</f>
        <v>574</v>
      </c>
      <c r="C577" s="0" t="n">
        <f aca="false">$C$3+($G$1/($E$1*86.4))*SINH($E$1*B577*86.4/$G$1)</f>
        <v>45464.8317933628</v>
      </c>
      <c r="D577" s="0" t="n">
        <f aca="false">C577-$C$3-B577</f>
        <v>286.831793362828</v>
      </c>
      <c r="E577" s="0" t="n">
        <f aca="false">$E$1*B577*86.4</f>
        <v>486513.216</v>
      </c>
      <c r="F577" s="0" t="n">
        <f aca="false">$G$1*G577</f>
        <v>277461.600314481</v>
      </c>
      <c r="G577" s="0" t="n">
        <f aca="false">TANH($E$1*B577*86.4/$G$1)</f>
        <v>0.92487200104827</v>
      </c>
      <c r="H577" s="0" t="n">
        <f aca="false">COSH($E$1*B577*86.4/$G$1)</f>
        <v>2.62965128838968</v>
      </c>
      <c r="I577" s="0" t="n">
        <f aca="false">(($G$1^2*1000)/($E$1*$I$1))*(H577-1)</f>
        <v>1.58030285507372</v>
      </c>
      <c r="J577" s="0" t="n">
        <f aca="false">$J$3*EXP(-$E$1*B577*86.4/$G$1)</f>
        <v>197.560439237555</v>
      </c>
      <c r="K577" s="0" t="n">
        <f aca="false">J576-J577</f>
        <v>0.558952785024985</v>
      </c>
    </row>
    <row r="578" customFormat="false" ht="12.8" hidden="false" customHeight="false" outlineLevel="0" collapsed="false">
      <c r="A578" s="0" t="n">
        <v>1</v>
      </c>
      <c r="B578" s="0" t="n">
        <f aca="false">B577+A578</f>
        <v>575</v>
      </c>
      <c r="C578" s="0" t="n">
        <f aca="false">$C$3+($G$1/($E$1*86.4))*SINH($E$1*B578*86.4/$G$1)</f>
        <v>45467.4648838207</v>
      </c>
      <c r="D578" s="0" t="n">
        <f aca="false">C578-$C$3-B578</f>
        <v>288.464883820721</v>
      </c>
      <c r="E578" s="0" t="n">
        <f aca="false">$E$1*B578*86.4</f>
        <v>487360.8</v>
      </c>
      <c r="F578" s="0" t="n">
        <f aca="false">$G$1*G578</f>
        <v>277583.851177326</v>
      </c>
      <c r="G578" s="0" t="n">
        <f aca="false">TANH($E$1*B578*86.4/$G$1)</f>
        <v>0.92527950392442</v>
      </c>
      <c r="H578" s="0" t="n">
        <f aca="false">COSH($E$1*B578*86.4/$G$1)</f>
        <v>2.63653313038293</v>
      </c>
      <c r="I578" s="0" t="n">
        <f aca="false">(($G$1^2*1000)/($E$1*$I$1))*(H578-1)</f>
        <v>1.5869763039444</v>
      </c>
      <c r="J578" s="0" t="n">
        <f aca="false">$J$3*EXP(-$E$1*B578*86.4/$G$1)</f>
        <v>197.003063421916</v>
      </c>
      <c r="K578" s="0" t="n">
        <f aca="false">J577-J578</f>
        <v>0.557375815639489</v>
      </c>
    </row>
    <row r="579" customFormat="false" ht="12.8" hidden="false" customHeight="false" outlineLevel="0" collapsed="false">
      <c r="A579" s="0" t="n">
        <v>1</v>
      </c>
      <c r="B579" s="0" t="n">
        <f aca="false">B578+A579</f>
        <v>576</v>
      </c>
      <c r="C579" s="0" t="n">
        <f aca="false">$C$3+($G$1/($E$1*86.4))*SINH($E$1*B579*86.4/$G$1)</f>
        <v>45470.1048666387</v>
      </c>
      <c r="D579" s="0" t="n">
        <f aca="false">C579-$C$3-B579</f>
        <v>290.104866638714</v>
      </c>
      <c r="E579" s="0" t="n">
        <f aca="false">$E$1*B579*86.4</f>
        <v>488208.384</v>
      </c>
      <c r="F579" s="0" t="n">
        <f aca="false">$G$1*G579</f>
        <v>277705.464538432</v>
      </c>
      <c r="G579" s="0" t="n">
        <f aca="false">TANH($E$1*B579*86.4/$G$1)</f>
        <v>0.925684881794773</v>
      </c>
      <c r="H579" s="0" t="n">
        <f aca="false">COSH($E$1*B579*86.4/$G$1)</f>
        <v>2.64343601774359</v>
      </c>
      <c r="I579" s="0" t="n">
        <f aca="false">(($G$1^2*1000)/($E$1*$I$1))*(H579-1)</f>
        <v>1.59367016089528</v>
      </c>
      <c r="J579" s="0" t="n">
        <f aca="false">$J$3*EXP(-$E$1*B579*86.4/$G$1)</f>
        <v>196.447260126569</v>
      </c>
      <c r="K579" s="0" t="n">
        <f aca="false">J578-J579</f>
        <v>0.555803295346209</v>
      </c>
    </row>
    <row r="580" customFormat="false" ht="12.8" hidden="false" customHeight="false" outlineLevel="0" collapsed="false">
      <c r="A580" s="0" t="n">
        <v>1</v>
      </c>
      <c r="B580" s="0" t="n">
        <f aca="false">B579+A580</f>
        <v>577</v>
      </c>
      <c r="C580" s="0" t="n">
        <f aca="false">$C$3+($G$1/($E$1*86.4))*SINH($E$1*B580*86.4/$G$1)</f>
        <v>45472.7517628897</v>
      </c>
      <c r="D580" s="0" t="n">
        <f aca="false">C580-$C$3-B580</f>
        <v>291.751762889697</v>
      </c>
      <c r="E580" s="0" t="n">
        <f aca="false">$E$1*B580*86.4</f>
        <v>489055.968</v>
      </c>
      <c r="F580" s="0" t="n">
        <f aca="false">$G$1*G580</f>
        <v>277826.443445063</v>
      </c>
      <c r="G580" s="0" t="n">
        <f aca="false">TANH($E$1*B580*86.4/$G$1)</f>
        <v>0.926088144816877</v>
      </c>
      <c r="H580" s="0" t="n">
        <f aca="false">COSH($E$1*B580*86.4/$G$1)</f>
        <v>2.65036000557198</v>
      </c>
      <c r="I580" s="0" t="n">
        <f aca="false">(($G$1^2*1000)/($E$1*$I$1))*(H580-1)</f>
        <v>1.60038447935817</v>
      </c>
      <c r="J580" s="0" t="n">
        <f aca="false">$J$3*EXP(-$E$1*B580*86.4/$G$1)</f>
        <v>195.893024914977</v>
      </c>
      <c r="K580" s="0" t="n">
        <f aca="false">J579-J580</f>
        <v>0.554235211592726</v>
      </c>
    </row>
    <row r="581" customFormat="false" ht="12.8" hidden="false" customHeight="false" outlineLevel="0" collapsed="false">
      <c r="A581" s="0" t="n">
        <v>1</v>
      </c>
      <c r="B581" s="0" t="n">
        <f aca="false">B580+A581</f>
        <v>578</v>
      </c>
      <c r="C581" s="0" t="n">
        <f aca="false">$C$3+($G$1/($E$1*86.4))*SINH($E$1*B581*86.4/$G$1)</f>
        <v>45475.4055937018</v>
      </c>
      <c r="D581" s="0" t="n">
        <f aca="false">C581-$C$3-B581</f>
        <v>293.405593701769</v>
      </c>
      <c r="E581" s="0" t="n">
        <f aca="false">$E$1*B581*86.4</f>
        <v>489903.552</v>
      </c>
      <c r="F581" s="0" t="n">
        <f aca="false">$G$1*G581</f>
        <v>277946.790932923</v>
      </c>
      <c r="G581" s="0" t="n">
        <f aca="false">TANH($E$1*B581*86.4/$G$1)</f>
        <v>0.926489303109744</v>
      </c>
      <c r="H581" s="0" t="n">
        <f aca="false">COSH($E$1*B581*86.4/$G$1)</f>
        <v>2.65730514913684</v>
      </c>
      <c r="I581" s="0" t="n">
        <f aca="false">(($G$1^2*1000)/($E$1*$I$1))*(H581-1)</f>
        <v>1.60711931292817</v>
      </c>
      <c r="J581" s="0" t="n">
        <f aca="false">$J$3*EXP(-$E$1*B581*86.4/$G$1)</f>
        <v>195.340353363114</v>
      </c>
      <c r="K581" s="0" t="n">
        <f aca="false">J580-J581</f>
        <v>0.552671551862602</v>
      </c>
    </row>
    <row r="582" customFormat="false" ht="12.8" hidden="false" customHeight="false" outlineLevel="0" collapsed="false">
      <c r="A582" s="0" t="n">
        <v>1</v>
      </c>
      <c r="B582" s="0" t="n">
        <f aca="false">B581+A582</f>
        <v>579</v>
      </c>
      <c r="C582" s="0" t="n">
        <f aca="false">$C$3+($G$1/($E$1*86.4))*SINH($E$1*B582*86.4/$G$1)</f>
        <v>45478.0663802584</v>
      </c>
      <c r="D582" s="0" t="n">
        <f aca="false">C582-$C$3-B582</f>
        <v>295.066380258359</v>
      </c>
      <c r="E582" s="0" t="n">
        <f aca="false">$E$1*B582*86.4</f>
        <v>490751.136</v>
      </c>
      <c r="F582" s="0" t="n">
        <f aca="false">$G$1*G582</f>
        <v>278066.510026166</v>
      </c>
      <c r="G582" s="0" t="n">
        <f aca="false">TANH($E$1*B582*86.4/$G$1)</f>
        <v>0.926888366753886</v>
      </c>
      <c r="H582" s="0" t="n">
        <f aca="false">COSH($E$1*B582*86.4/$G$1)</f>
        <v>2.66427150387578</v>
      </c>
      <c r="I582" s="0" t="n">
        <f aca="false">(($G$1^2*1000)/($E$1*$I$1))*(H582-1)</f>
        <v>1.61387471536416</v>
      </c>
      <c r="J582" s="0" t="n">
        <f aca="false">$J$3*EXP(-$E$1*B582*86.4/$G$1)</f>
        <v>194.78924105944</v>
      </c>
      <c r="K582" s="0" t="n">
        <f aca="false">J581-J582</f>
        <v>0.551112303674103</v>
      </c>
    </row>
    <row r="583" customFormat="false" ht="12.8" hidden="false" customHeight="false" outlineLevel="0" collapsed="false">
      <c r="A583" s="0" t="n">
        <v>1</v>
      </c>
      <c r="B583" s="0" t="n">
        <f aca="false">B582+A583</f>
        <v>580</v>
      </c>
      <c r="C583" s="0" t="n">
        <f aca="false">$C$3+($G$1/($E$1*86.4))*SINH($E$1*B583*86.4/$G$1)</f>
        <v>45480.7341437984</v>
      </c>
      <c r="D583" s="0" t="n">
        <f aca="false">C583-$C$3-B583</f>
        <v>296.734143798443</v>
      </c>
      <c r="E583" s="0" t="n">
        <f aca="false">$E$1*B583*86.4</f>
        <v>491598.72</v>
      </c>
      <c r="F583" s="0" t="n">
        <f aca="false">$G$1*G583</f>
        <v>278185.603737404</v>
      </c>
      <c r="G583" s="0" t="n">
        <f aca="false">TANH($E$1*B583*86.4/$G$1)</f>
        <v>0.927285345791347</v>
      </c>
      <c r="H583" s="0" t="n">
        <f aca="false">COSH($E$1*B583*86.4/$G$1)</f>
        <v>2.67125912539572</v>
      </c>
      <c r="I583" s="0" t="n">
        <f aca="false">(($G$1^2*1000)/($E$1*$I$1))*(H583-1)</f>
        <v>1.6206507405892</v>
      </c>
      <c r="J583" s="0" t="n">
        <f aca="false">$J$3*EXP(-$E$1*B583*86.4/$G$1)</f>
        <v>194.239683604859</v>
      </c>
      <c r="K583" s="0" t="n">
        <f aca="false">J582-J583</f>
        <v>0.549557454580992</v>
      </c>
    </row>
    <row r="584" customFormat="false" ht="12.8" hidden="false" customHeight="false" outlineLevel="0" collapsed="false">
      <c r="A584" s="0" t="n">
        <v>1</v>
      </c>
      <c r="B584" s="0" t="n">
        <f aca="false">B583+A584</f>
        <v>581</v>
      </c>
      <c r="C584" s="0" t="n">
        <f aca="false">$C$3+($G$1/($E$1*86.4))*SINH($E$1*B584*86.4/$G$1)</f>
        <v>45483.4089056167</v>
      </c>
      <c r="D584" s="0" t="n">
        <f aca="false">C584-$C$3-B584</f>
        <v>298.40890561667</v>
      </c>
      <c r="E584" s="0" t="n">
        <f aca="false">$E$1*B584*86.4</f>
        <v>492446.304</v>
      </c>
      <c r="F584" s="0" t="n">
        <f aca="false">$G$1*G584</f>
        <v>278304.075067724</v>
      </c>
      <c r="G584" s="0" t="n">
        <f aca="false">TANH($E$1*B584*86.4/$G$1)</f>
        <v>0.927680250225746</v>
      </c>
      <c r="H584" s="0" t="n">
        <f aca="false">COSH($E$1*B584*86.4/$G$1)</f>
        <v>2.67826806947335</v>
      </c>
      <c r="I584" s="0" t="n">
        <f aca="false">(($G$1^2*1000)/($E$1*$I$1))*(H584-1)</f>
        <v>1.62744744269095</v>
      </c>
      <c r="J584" s="0" t="n">
        <f aca="false">$J$3*EXP(-$E$1*B584*86.4/$G$1)</f>
        <v>193.691676612687</v>
      </c>
      <c r="K584" s="0" t="n">
        <f aca="false">J583-J584</f>
        <v>0.548006992172361</v>
      </c>
    </row>
    <row r="585" customFormat="false" ht="12.8" hidden="false" customHeight="false" outlineLevel="0" collapsed="false">
      <c r="A585" s="0" t="n">
        <v>1</v>
      </c>
      <c r="B585" s="0" t="n">
        <f aca="false">B584+A585</f>
        <v>582</v>
      </c>
      <c r="C585" s="0" t="n">
        <f aca="false">$C$3+($G$1/($E$1*86.4))*SINH($E$1*B585*86.4/$G$1)</f>
        <v>45486.0906870636</v>
      </c>
      <c r="D585" s="0" t="n">
        <f aca="false">C585-$C$3-B585</f>
        <v>300.090687063559</v>
      </c>
      <c r="E585" s="0" t="n">
        <f aca="false">$E$1*B585*86.4</f>
        <v>493293.888</v>
      </c>
      <c r="F585" s="0" t="n">
        <f aca="false">$G$1*G585</f>
        <v>278421.927006693</v>
      </c>
      <c r="G585" s="0" t="n">
        <f aca="false">TANH($E$1*B585*86.4/$G$1)</f>
        <v>0.92807309002231</v>
      </c>
      <c r="H585" s="0" t="n">
        <f aca="false">COSH($E$1*B585*86.4/$G$1)</f>
        <v>2.68529839205554</v>
      </c>
      <c r="I585" s="0" t="n">
        <f aca="false">(($G$1^2*1000)/($E$1*$I$1))*(H585-1)</f>
        <v>1.63426487592214</v>
      </c>
      <c r="J585" s="0" t="n">
        <f aca="false">$J$3*EXP(-$E$1*B585*86.4/$G$1)</f>
        <v>193.145215708615</v>
      </c>
      <c r="K585" s="0" t="n">
        <f aca="false">J584-J585</f>
        <v>0.546460904071779</v>
      </c>
    </row>
    <row r="586" customFormat="false" ht="12.8" hidden="false" customHeight="false" outlineLevel="0" collapsed="false">
      <c r="A586" s="0" t="n">
        <v>1</v>
      </c>
      <c r="B586" s="0" t="n">
        <f aca="false">B585+A586</f>
        <v>583</v>
      </c>
      <c r="C586" s="0" t="n">
        <f aca="false">$C$3+($G$1/($E$1*86.4))*SINH($E$1*B586*86.4/$G$1)</f>
        <v>45488.7795095457</v>
      </c>
      <c r="D586" s="0" t="n">
        <f aca="false">C586-$C$3-B586</f>
        <v>301.779509545653</v>
      </c>
      <c r="E586" s="0" t="n">
        <f aca="false">$E$1*B586*86.4</f>
        <v>494141.472</v>
      </c>
      <c r="F586" s="0" t="n">
        <f aca="false">$G$1*G586</f>
        <v>278539.162532374</v>
      </c>
      <c r="G586" s="0" t="n">
        <f aca="false">TANH($E$1*B586*86.4/$G$1)</f>
        <v>0.928463875107914</v>
      </c>
      <c r="H586" s="0" t="n">
        <f aca="false">COSH($E$1*B586*86.4/$G$1)</f>
        <v>2.69235014925982</v>
      </c>
      <c r="I586" s="0" t="n">
        <f aca="false">(($G$1^2*1000)/($E$1*$I$1))*(H586-1)</f>
        <v>1.64110309470097</v>
      </c>
      <c r="J586" s="0" t="n">
        <f aca="false">$J$3*EXP(-$E$1*B586*86.4/$G$1)</f>
        <v>192.600296530677</v>
      </c>
      <c r="K586" s="0" t="n">
        <f aca="false">J585-J586</f>
        <v>0.544919177938311</v>
      </c>
    </row>
    <row r="587" customFormat="false" ht="12.8" hidden="false" customHeight="false" outlineLevel="0" collapsed="false">
      <c r="A587" s="0" t="n">
        <v>1</v>
      </c>
      <c r="B587" s="0" t="n">
        <f aca="false">B586+A587</f>
        <v>584</v>
      </c>
      <c r="C587" s="0" t="n">
        <f aca="false">$C$3+($G$1/($E$1*86.4))*SINH($E$1*B587*86.4/$G$1)</f>
        <v>45491.4753945257</v>
      </c>
      <c r="D587" s="0" t="n">
        <f aca="false">C587-$C$3-B587</f>
        <v>303.475394525711</v>
      </c>
      <c r="E587" s="0" t="n">
        <f aca="false">$E$1*B587*86.4</f>
        <v>494989.056</v>
      </c>
      <c r="F587" s="0" t="n">
        <f aca="false">$G$1*G587</f>
        <v>278655.784611337</v>
      </c>
      <c r="G587" s="0" t="n">
        <f aca="false">TANH($E$1*B587*86.4/$G$1)</f>
        <v>0.928852615371125</v>
      </c>
      <c r="H587" s="0" t="n">
        <f aca="false">COSH($E$1*B587*86.4/$G$1)</f>
        <v>2.69942339737481</v>
      </c>
      <c r="I587" s="0" t="n">
        <f aca="false">(($G$1^2*1000)/($E$1*$I$1))*(H587-1)</f>
        <v>1.64796215361155</v>
      </c>
      <c r="J587" s="0" t="n">
        <f aca="false">$J$3*EXP(-$E$1*B587*86.4/$G$1)</f>
        <v>192.056914729211</v>
      </c>
      <c r="K587" s="0" t="n">
        <f aca="false">J586-J587</f>
        <v>0.543381801465358</v>
      </c>
    </row>
    <row r="588" customFormat="false" ht="12.8" hidden="false" customHeight="false" outlineLevel="0" collapsed="false">
      <c r="A588" s="0" t="n">
        <v>1</v>
      </c>
      <c r="B588" s="0" t="n">
        <f aca="false">B587+A588</f>
        <v>585</v>
      </c>
      <c r="C588" s="0" t="n">
        <f aca="false">$C$3+($G$1/($E$1*86.4))*SINH($E$1*B588*86.4/$G$1)</f>
        <v>45494.1783635229</v>
      </c>
      <c r="D588" s="0" t="n">
        <f aca="false">C588-$C$3-B588</f>
        <v>305.178363522857</v>
      </c>
      <c r="E588" s="0" t="n">
        <f aca="false">$E$1*B588*86.4</f>
        <v>495836.64</v>
      </c>
      <c r="F588" s="0" t="n">
        <f aca="false">$G$1*G588</f>
        <v>278771.796198672</v>
      </c>
      <c r="G588" s="0" t="n">
        <f aca="false">TANH($E$1*B588*86.4/$G$1)</f>
        <v>0.92923932066224</v>
      </c>
      <c r="H588" s="0" t="n">
        <f aca="false">COSH($E$1*B588*86.4/$G$1)</f>
        <v>2.70651819286069</v>
      </c>
      <c r="I588" s="0" t="n">
        <f aca="false">(($G$1^2*1000)/($E$1*$I$1))*(H588-1)</f>
        <v>1.65484210740435</v>
      </c>
      <c r="J588" s="0" t="n">
        <f aca="false">$J$3*EXP(-$E$1*B588*86.4/$G$1)</f>
        <v>191.51506596683</v>
      </c>
      <c r="K588" s="0" t="n">
        <f aca="false">J587-J588</f>
        <v>0.541848762381392</v>
      </c>
    </row>
    <row r="589" customFormat="false" ht="12.8" hidden="false" customHeight="false" outlineLevel="0" collapsed="false">
      <c r="A589" s="0" t="n">
        <v>1</v>
      </c>
      <c r="B589" s="0" t="n">
        <f aca="false">B588+A589</f>
        <v>586</v>
      </c>
      <c r="C589" s="0" t="n">
        <f aca="false">$C$3+($G$1/($E$1*86.4))*SINH($E$1*B589*86.4/$G$1)</f>
        <v>45496.8884381128</v>
      </c>
      <c r="D589" s="0" t="n">
        <f aca="false">C589-$C$3-B589</f>
        <v>306.888438112765</v>
      </c>
      <c r="E589" s="0" t="n">
        <f aca="false">$E$1*B589*86.4</f>
        <v>496684.224</v>
      </c>
      <c r="F589" s="0" t="n">
        <f aca="false">$G$1*G589</f>
        <v>278887.200238</v>
      </c>
      <c r="G589" s="0" t="n">
        <f aca="false">TANH($E$1*B589*86.4/$G$1)</f>
        <v>0.929624000793333</v>
      </c>
      <c r="H589" s="0" t="n">
        <f aca="false">COSH($E$1*B589*86.4/$G$1)</f>
        <v>2.71363459234961</v>
      </c>
      <c r="I589" s="0" t="n">
        <f aca="false">(($G$1^2*1000)/($E$1*$I$1))*(H589-1)</f>
        <v>1.66174301099662</v>
      </c>
      <c r="J589" s="0" t="n">
        <f aca="false">$J$3*EXP(-$E$1*B589*86.4/$G$1)</f>
        <v>190.97474591838</v>
      </c>
      <c r="K589" s="0" t="n">
        <f aca="false">J588-J589</f>
        <v>0.540320048449388</v>
      </c>
    </row>
    <row r="590" customFormat="false" ht="12.8" hidden="false" customHeight="false" outlineLevel="0" collapsed="false">
      <c r="A590" s="0" t="n">
        <v>1</v>
      </c>
      <c r="B590" s="0" t="n">
        <f aca="false">B589+A590</f>
        <v>587</v>
      </c>
      <c r="C590" s="0" t="n">
        <f aca="false">$C$3+($G$1/($E$1*86.4))*SINH($E$1*B590*86.4/$G$1)</f>
        <v>45499.6056399278</v>
      </c>
      <c r="D590" s="0" t="n">
        <f aca="false">C590-$C$3-B590</f>
        <v>308.605639927824</v>
      </c>
      <c r="E590" s="0" t="n">
        <f aca="false">$E$1*B590*86.4</f>
        <v>497531.808</v>
      </c>
      <c r="F590" s="0" t="n">
        <f aca="false">$G$1*G590</f>
        <v>279001.99966149</v>
      </c>
      <c r="G590" s="0" t="n">
        <f aca="false">TANH($E$1*B590*86.4/$G$1)</f>
        <v>0.930006665538299</v>
      </c>
      <c r="H590" s="0" t="n">
        <f aca="false">COSH($E$1*B590*86.4/$G$1)</f>
        <v>2.7207726526462</v>
      </c>
      <c r="I590" s="0" t="n">
        <f aca="false">(($G$1^2*1000)/($E$1*$I$1))*(H590-1)</f>
        <v>1.66866491947283</v>
      </c>
      <c r="J590" s="0" t="n">
        <f aca="false">$J$3*EXP(-$E$1*B590*86.4/$G$1)</f>
        <v>190.435950270914</v>
      </c>
      <c r="K590" s="0" t="n">
        <f aca="false">J589-J590</f>
        <v>0.538795647466685</v>
      </c>
    </row>
    <row r="591" customFormat="false" ht="12.8" hidden="false" customHeight="false" outlineLevel="0" collapsed="false">
      <c r="A591" s="0" t="n">
        <v>1</v>
      </c>
      <c r="B591" s="0" t="n">
        <f aca="false">B590+A591</f>
        <v>588</v>
      </c>
      <c r="C591" s="0" t="n">
        <f aca="false">$C$3+($G$1/($E$1*86.4))*SINH($E$1*B591*86.4/$G$1)</f>
        <v>45502.3299906573</v>
      </c>
      <c r="D591" s="0" t="n">
        <f aca="false">C591-$C$3-B591</f>
        <v>310.329990657316</v>
      </c>
      <c r="E591" s="0" t="n">
        <f aca="false">$E$1*B591*86.4</f>
        <v>498379.392</v>
      </c>
      <c r="F591" s="0" t="n">
        <f aca="false">$G$1*G591</f>
        <v>279116.19738987</v>
      </c>
      <c r="G591" s="0" t="n">
        <f aca="false">TANH($E$1*B591*86.4/$G$1)</f>
        <v>0.9303873246329</v>
      </c>
      <c r="H591" s="0" t="n">
        <f aca="false">COSH($E$1*B591*86.4/$G$1)</f>
        <v>2.72793243072795</v>
      </c>
      <c r="I591" s="0" t="n">
        <f aca="false">(($G$1^2*1000)/($E$1*$I$1))*(H591-1)</f>
        <v>1.67560788808514</v>
      </c>
      <c r="J591" s="0" t="n">
        <f aca="false">$J$3*EXP(-$E$1*B591*86.4/$G$1)</f>
        <v>189.898674723648</v>
      </c>
      <c r="K591" s="0" t="n">
        <f aca="false">J590-J591</f>
        <v>0.537275547265352</v>
      </c>
    </row>
    <row r="592" customFormat="false" ht="12.8" hidden="false" customHeight="false" outlineLevel="0" collapsed="false">
      <c r="A592" s="0" t="n">
        <v>1</v>
      </c>
      <c r="B592" s="0" t="n">
        <f aca="false">B591+A592</f>
        <v>589</v>
      </c>
      <c r="C592" s="0" t="n">
        <f aca="false">$C$3+($G$1/($E$1*86.4))*SINH($E$1*B592*86.4/$G$1)</f>
        <v>45505.0615120476</v>
      </c>
      <c r="D592" s="0" t="n">
        <f aca="false">C592-$C$3-B592</f>
        <v>312.061512047592</v>
      </c>
      <c r="E592" s="0" t="n">
        <f aca="false">$E$1*B592*86.4</f>
        <v>499226.976</v>
      </c>
      <c r="F592" s="0" t="n">
        <f aca="false">$G$1*G592</f>
        <v>279229.796332444</v>
      </c>
      <c r="G592" s="0" t="n">
        <f aca="false">TANH($E$1*B592*86.4/$G$1)</f>
        <v>0.930765987774812</v>
      </c>
      <c r="H592" s="0" t="n">
        <f aca="false">COSH($E$1*B592*86.4/$G$1)</f>
        <v>2.73511398374575</v>
      </c>
      <c r="I592" s="0" t="n">
        <f aca="false">(($G$1^2*1000)/($E$1*$I$1))*(H592-1)</f>
        <v>1.68257197225379</v>
      </c>
      <c r="J592" s="0" t="n">
        <f aca="false">$J$3*EXP(-$E$1*B592*86.4/$G$1)</f>
        <v>189.362914987937</v>
      </c>
      <c r="K592" s="0" t="n">
        <f aca="false">J591-J592</f>
        <v>0.535759735711395</v>
      </c>
    </row>
    <row r="593" customFormat="false" ht="12.8" hidden="false" customHeight="false" outlineLevel="0" collapsed="false">
      <c r="A593" s="0" t="n">
        <v>1</v>
      </c>
      <c r="B593" s="0" t="n">
        <f aca="false">B592+A593</f>
        <v>590</v>
      </c>
      <c r="C593" s="0" t="n">
        <f aca="false">$C$3+($G$1/($E$1*86.4))*SINH($E$1*B593*86.4/$G$1)</f>
        <v>45507.8002259022</v>
      </c>
      <c r="D593" s="0" t="n">
        <f aca="false">C593-$C$3-B593</f>
        <v>313.800225902225</v>
      </c>
      <c r="E593" s="0" t="n">
        <f aca="false">$E$1*B593*86.4</f>
        <v>500074.56</v>
      </c>
      <c r="F593" s="0" t="n">
        <f aca="false">$G$1*G593</f>
        <v>279342.799387102</v>
      </c>
      <c r="G593" s="0" t="n">
        <f aca="false">TANH($E$1*B593*86.4/$G$1)</f>
        <v>0.931142664623673</v>
      </c>
      <c r="H593" s="0" t="n">
        <f aca="false">COSH($E$1*B593*86.4/$G$1)</f>
        <v>2.74231736902427</v>
      </c>
      <c r="I593" s="0" t="n">
        <f aca="false">(($G$1^2*1000)/($E$1*$I$1))*(H593-1)</f>
        <v>1.68955722756758</v>
      </c>
      <c r="J593" s="0" t="n">
        <f aca="false">$J$3*EXP(-$E$1*B593*86.4/$G$1)</f>
        <v>188.828666787231</v>
      </c>
      <c r="K593" s="0" t="n">
        <f aca="false">J592-J593</f>
        <v>0.534248200705633</v>
      </c>
    </row>
    <row r="594" customFormat="false" ht="12.8" hidden="false" customHeight="false" outlineLevel="0" collapsed="false">
      <c r="A594" s="0" t="n">
        <v>1</v>
      </c>
      <c r="B594" s="0" t="n">
        <f aca="false">B593+A594</f>
        <v>591</v>
      </c>
      <c r="C594" s="0" t="n">
        <f aca="false">$C$3+($G$1/($E$1*86.4))*SINH($E$1*B594*86.4/$G$1)</f>
        <v>45510.5461540822</v>
      </c>
      <c r="D594" s="0" t="n">
        <f aca="false">C594-$C$3-B594</f>
        <v>315.546154082222</v>
      </c>
      <c r="E594" s="0" t="n">
        <f aca="false">$E$1*B594*86.4</f>
        <v>500922.144</v>
      </c>
      <c r="F594" s="0" t="n">
        <f aca="false">$G$1*G594</f>
        <v>279455.209440341</v>
      </c>
      <c r="G594" s="0" t="n">
        <f aca="false">TANH($E$1*B594*86.4/$G$1)</f>
        <v>0.931517364801136</v>
      </c>
      <c r="H594" s="0" t="n">
        <f aca="false">COSH($E$1*B594*86.4/$G$1)</f>
        <v>2.74954264406247</v>
      </c>
      <c r="I594" s="0" t="n">
        <f aca="false">(($G$1^2*1000)/($E$1*$I$1))*(H594-1)</f>
        <v>1.6965637097843</v>
      </c>
      <c r="J594" s="0" t="n">
        <f aca="false">$J$3*EXP(-$E$1*B594*86.4/$G$1)</f>
        <v>188.295925857049</v>
      </c>
      <c r="K594" s="0" t="n">
        <f aca="false">J593-J594</f>
        <v>0.532740930182371</v>
      </c>
    </row>
    <row r="595" customFormat="false" ht="12.8" hidden="false" customHeight="false" outlineLevel="0" collapsed="false">
      <c r="A595" s="0" t="n">
        <v>1</v>
      </c>
      <c r="B595" s="0" t="n">
        <f aca="false">B594+A595</f>
        <v>592</v>
      </c>
      <c r="C595" s="0" t="n">
        <f aca="false">$C$3+($G$1/($E$1*86.4))*SINH($E$1*B595*86.4/$G$1)</f>
        <v>45513.2993185062</v>
      </c>
      <c r="D595" s="0" t="n">
        <f aca="false">C595-$C$3-B595</f>
        <v>317.299318506157</v>
      </c>
      <c r="E595" s="0" t="n">
        <f aca="false">$E$1*B595*86.4</f>
        <v>501769.728</v>
      </c>
      <c r="F595" s="0" t="n">
        <f aca="false">$G$1*G595</f>
        <v>279567.029367276</v>
      </c>
      <c r="G595" s="0" t="n">
        <f aca="false">TANH($E$1*B595*86.4/$G$1)</f>
        <v>0.931890097890919</v>
      </c>
      <c r="H595" s="0" t="n">
        <f aca="false">COSH($E$1*B595*86.4/$G$1)</f>
        <v>2.75678986653402</v>
      </c>
      <c r="I595" s="0" t="n">
        <f aca="false">(($G$1^2*1000)/($E$1*$I$1))*(H595-1)</f>
        <v>1.70359147483118</v>
      </c>
      <c r="J595" s="0" t="n">
        <f aca="false">$J$3*EXP(-$E$1*B595*86.4/$G$1)</f>
        <v>187.764687944939</v>
      </c>
      <c r="K595" s="0" t="n">
        <f aca="false">J594-J595</f>
        <v>0.531237912110356</v>
      </c>
    </row>
    <row r="596" customFormat="false" ht="12.8" hidden="false" customHeight="false" outlineLevel="0" collapsed="false">
      <c r="A596" s="0" t="n">
        <v>1</v>
      </c>
      <c r="B596" s="0" t="n">
        <f aca="false">B595+A596</f>
        <v>593</v>
      </c>
      <c r="C596" s="0" t="n">
        <f aca="false">$C$3+($G$1/($E$1*86.4))*SINH($E$1*B596*86.4/$G$1)</f>
        <v>45516.0597411504</v>
      </c>
      <c r="D596" s="0" t="n">
        <f aca="false">C596-$C$3-B596</f>
        <v>319.059741150384</v>
      </c>
      <c r="E596" s="0" t="n">
        <f aca="false">$E$1*B596*86.4</f>
        <v>502617.312</v>
      </c>
      <c r="F596" s="0" t="n">
        <f aca="false">$G$1*G596</f>
        <v>279678.262031656</v>
      </c>
      <c r="G596" s="0" t="n">
        <f aca="false">TANH($E$1*B596*86.4/$G$1)</f>
        <v>0.932260873438855</v>
      </c>
      <c r="H596" s="0" t="n">
        <f aca="false">COSH($E$1*B596*86.4/$G$1)</f>
        <v>2.7640590942878</v>
      </c>
      <c r="I596" s="0" t="n">
        <f aca="false">(($G$1^2*1000)/($E$1*$I$1))*(H596-1)</f>
        <v>1.71064057880533</v>
      </c>
      <c r="J596" s="0" t="n">
        <f aca="false">$J$3*EXP(-$E$1*B596*86.4/$G$1)</f>
        <v>187.234948810446</v>
      </c>
      <c r="K596" s="0" t="n">
        <f aca="false">J595-J596</f>
        <v>0.529739134492189</v>
      </c>
    </row>
    <row r="597" customFormat="false" ht="12.8" hidden="false" customHeight="false" outlineLevel="0" collapsed="false">
      <c r="A597" s="0" t="n">
        <v>1</v>
      </c>
      <c r="B597" s="0" t="n">
        <f aca="false">B596+A597</f>
        <v>594</v>
      </c>
      <c r="C597" s="0" t="n">
        <f aca="false">$C$3+($G$1/($E$1*86.4))*SINH($E$1*B597*86.4/$G$1)</f>
        <v>45518.8274440492</v>
      </c>
      <c r="D597" s="0" t="n">
        <f aca="false">C597-$C$3-B597</f>
        <v>320.827444049173</v>
      </c>
      <c r="E597" s="0" t="n">
        <f aca="false">$E$1*B597*86.4</f>
        <v>503464.896</v>
      </c>
      <c r="F597" s="0" t="n">
        <f aca="false">$G$1*G597</f>
        <v>279788.910285884</v>
      </c>
      <c r="G597" s="0" t="n">
        <f aca="false">TANH($E$1*B597*86.4/$G$1)</f>
        <v>0.932629700952947</v>
      </c>
      <c r="H597" s="0" t="n">
        <f aca="false">COSH($E$1*B597*86.4/$G$1)</f>
        <v>2.77135038534832</v>
      </c>
      <c r="I597" s="0" t="n">
        <f aca="false">(($G$1^2*1000)/($E$1*$I$1))*(H597-1)</f>
        <v>1.7177110779742</v>
      </c>
      <c r="J597" s="0" t="n">
        <f aca="false">$J$3*EXP(-$E$1*B597*86.4/$G$1)</f>
        <v>186.706704225082</v>
      </c>
      <c r="K597" s="0" t="n">
        <f aca="false">J596-J597</f>
        <v>0.528244585364377</v>
      </c>
    </row>
    <row r="598" customFormat="false" ht="12.8" hidden="false" customHeight="false" outlineLevel="0" collapsed="false">
      <c r="A598" s="0" t="n">
        <v>1</v>
      </c>
      <c r="B598" s="0" t="n">
        <f aca="false">B597+A598</f>
        <v>595</v>
      </c>
      <c r="C598" s="0" t="n">
        <f aca="false">$C$3+($G$1/($E$1*86.4))*SINH($E$1*B598*86.4/$G$1)</f>
        <v>45521.6024492949</v>
      </c>
      <c r="D598" s="0" t="n">
        <f aca="false">C598-$C$3-B598</f>
        <v>322.602449294915</v>
      </c>
      <c r="E598" s="0" t="n">
        <f aca="false">$E$1*B598*86.4</f>
        <v>504312.48</v>
      </c>
      <c r="F598" s="0" t="n">
        <f aca="false">$G$1*G598</f>
        <v>279898.976971028</v>
      </c>
      <c r="G598" s="0" t="n">
        <f aca="false">TANH($E$1*B598*86.4/$G$1)</f>
        <v>0.932996589903426</v>
      </c>
      <c r="H598" s="0" t="n">
        <f aca="false">COSH($E$1*B598*86.4/$G$1)</f>
        <v>2.77866379791622</v>
      </c>
      <c r="I598" s="0" t="n">
        <f aca="false">(($G$1^2*1000)/($E$1*$I$1))*(H598-1)</f>
        <v>1.72480302877602</v>
      </c>
      <c r="J598" s="0" t="n">
        <f aca="false">$J$3*EXP(-$E$1*B598*86.4/$G$1)</f>
        <v>186.179949972285</v>
      </c>
      <c r="K598" s="0" t="n">
        <f aca="false">J597-J598</f>
        <v>0.526754252796991</v>
      </c>
    </row>
    <row r="599" customFormat="false" ht="12.8" hidden="false" customHeight="false" outlineLevel="0" collapsed="false">
      <c r="A599" s="0" t="n">
        <v>1</v>
      </c>
      <c r="B599" s="0" t="n">
        <f aca="false">B598+A599</f>
        <v>596</v>
      </c>
      <c r="C599" s="0" t="n">
        <f aca="false">$C$3+($G$1/($E$1*86.4))*SINH($E$1*B599*86.4/$G$1)</f>
        <v>45524.3847790383</v>
      </c>
      <c r="D599" s="0" t="n">
        <f aca="false">C599-$C$3-B599</f>
        <v>324.384779038293</v>
      </c>
      <c r="E599" s="0" t="n">
        <f aca="false">$E$1*B599*86.4</f>
        <v>505160.064</v>
      </c>
      <c r="F599" s="0" t="n">
        <f aca="false">$G$1*G599</f>
        <v>280008.46491684</v>
      </c>
      <c r="G599" s="0" t="n">
        <f aca="false">TANH($E$1*B599*86.4/$G$1)</f>
        <v>0.933361549722801</v>
      </c>
      <c r="H599" s="0" t="n">
        <f aca="false">COSH($E$1*B599*86.4/$G$1)</f>
        <v>2.78599939036871</v>
      </c>
      <c r="I599" s="0" t="n">
        <f aca="false">(($G$1^2*1000)/($E$1*$I$1))*(H599-1)</f>
        <v>1.73191648782025</v>
      </c>
      <c r="J599" s="0" t="n">
        <f aca="false">$J$3*EXP(-$E$1*B599*86.4/$G$1)</f>
        <v>185.654681847391</v>
      </c>
      <c r="K599" s="0" t="n">
        <f aca="false">J598-J599</f>
        <v>0.52526812489387</v>
      </c>
    </row>
    <row r="600" customFormat="false" ht="12.8" hidden="false" customHeight="false" outlineLevel="0" collapsed="false">
      <c r="A600" s="0" t="n">
        <v>1</v>
      </c>
      <c r="B600" s="0" t="n">
        <f aca="false">B599+A600</f>
        <v>597</v>
      </c>
      <c r="C600" s="0" t="n">
        <f aca="false">$C$3+($G$1/($E$1*86.4))*SINH($E$1*B600*86.4/$G$1)</f>
        <v>45527.1744554885</v>
      </c>
      <c r="D600" s="0" t="n">
        <f aca="false">C600-$C$3-B600</f>
        <v>326.174455488464</v>
      </c>
      <c r="E600" s="0" t="n">
        <f aca="false">$E$1*B600*86.4</f>
        <v>506007.648</v>
      </c>
      <c r="F600" s="0" t="n">
        <f aca="false">$G$1*G600</f>
        <v>280117.376941777</v>
      </c>
      <c r="G600" s="0" t="n">
        <f aca="false">TANH($E$1*B600*86.4/$G$1)</f>
        <v>0.933724589805922</v>
      </c>
      <c r="H600" s="0" t="n">
        <f aca="false">COSH($E$1*B600*86.4/$G$1)</f>
        <v>2.79335722126004</v>
      </c>
      <c r="I600" s="0" t="n">
        <f aca="false">(($G$1^2*1000)/($E$1*$I$1))*(H600-1)</f>
        <v>1.73905151188801</v>
      </c>
      <c r="J600" s="0" t="n">
        <f aca="false">$J$3*EXP(-$E$1*B600*86.4/$G$1)</f>
        <v>185.130895657599</v>
      </c>
      <c r="K600" s="0" t="n">
        <f aca="false">J599-J600</f>
        <v>0.52378618979256</v>
      </c>
    </row>
    <row r="601" customFormat="false" ht="12.8" hidden="false" customHeight="false" outlineLevel="0" collapsed="false">
      <c r="A601" s="0" t="n">
        <v>1</v>
      </c>
      <c r="B601" s="0" t="n">
        <f aca="false">B600+A601</f>
        <v>598</v>
      </c>
      <c r="C601" s="0" t="n">
        <f aca="false">$C$3+($G$1/($E$1*86.4))*SINH($E$1*B601*86.4/$G$1)</f>
        <v>45529.9715009132</v>
      </c>
      <c r="D601" s="0" t="n">
        <f aca="false">C601-$C$3-B601</f>
        <v>327.971500913205</v>
      </c>
      <c r="E601" s="0" t="n">
        <f aca="false">$E$1*B601*86.4</f>
        <v>506855.232</v>
      </c>
      <c r="F601" s="0" t="n">
        <f aca="false">$G$1*G601</f>
        <v>280225.71585301</v>
      </c>
      <c r="G601" s="0" t="n">
        <f aca="false">TANH($E$1*B601*86.4/$G$1)</f>
        <v>0.934085719510034</v>
      </c>
      <c r="H601" s="0" t="n">
        <f aca="false">COSH($E$1*B601*86.4/$G$1)</f>
        <v>2.80073734932199</v>
      </c>
      <c r="I601" s="0" t="n">
        <f aca="false">(($G$1^2*1000)/($E$1*$I$1))*(H601-1)</f>
        <v>1.7462081579326</v>
      </c>
      <c r="J601" s="0" t="n">
        <f aca="false">$J$3*EXP(-$E$1*B601*86.4/$G$1)</f>
        <v>184.608587221935</v>
      </c>
      <c r="K601" s="0" t="n">
        <f aca="false">J600-J601</f>
        <v>0.522308435663774</v>
      </c>
    </row>
    <row r="602" customFormat="false" ht="12.8" hidden="false" customHeight="false" outlineLevel="0" collapsed="false">
      <c r="A602" s="0" t="n">
        <v>1</v>
      </c>
      <c r="B602" s="0" t="n">
        <f aca="false">B601+A602</f>
        <v>599</v>
      </c>
      <c r="C602" s="0" t="n">
        <f aca="false">$C$3+($G$1/($E$1*86.4))*SINH($E$1*B602*86.4/$G$1)</f>
        <v>45532.7759376391</v>
      </c>
      <c r="D602" s="0" t="n">
        <f aca="false">C602-$C$3-B602</f>
        <v>329.775937639133</v>
      </c>
      <c r="E602" s="0" t="n">
        <f aca="false">$E$1*B602*86.4</f>
        <v>507702.816</v>
      </c>
      <c r="F602" s="0" t="n">
        <f aca="false">$G$1*G602</f>
        <v>280333.484446451</v>
      </c>
      <c r="G602" s="0" t="n">
        <f aca="false">TANH($E$1*B602*86.4/$G$1)</f>
        <v>0.934444948154836</v>
      </c>
      <c r="H602" s="0" t="n">
        <f aca="false">COSH($E$1*B602*86.4/$G$1)</f>
        <v>2.80813983346431</v>
      </c>
      <c r="I602" s="0" t="n">
        <f aca="false">(($G$1^2*1000)/($E$1*$I$1))*(H602-1)</f>
        <v>1.75338648307987</v>
      </c>
      <c r="J602" s="0" t="n">
        <f aca="false">$J$3*EXP(-$E$1*B602*86.4/$G$1)</f>
        <v>184.087752371223</v>
      </c>
      <c r="K602" s="0" t="n">
        <f aca="false">J601-J602</f>
        <v>0.520834850711935</v>
      </c>
    </row>
    <row r="603" customFormat="false" ht="12.8" hidden="false" customHeight="false" outlineLevel="0" collapsed="false">
      <c r="A603" s="0" t="n">
        <v>1</v>
      </c>
      <c r="B603" s="0" t="n">
        <f aca="false">B602+A603</f>
        <v>600</v>
      </c>
      <c r="C603" s="0" t="n">
        <f aca="false">$C$3+($G$1/($E$1*86.4))*SINH($E$1*B603*86.4/$G$1)</f>
        <v>45535.5877880519</v>
      </c>
      <c r="D603" s="0" t="n">
        <f aca="false">C603-$C$3-B603</f>
        <v>331.587788051853</v>
      </c>
      <c r="E603" s="0" t="n">
        <f aca="false">$E$1*B603*86.4</f>
        <v>508550.4</v>
      </c>
      <c r="F603" s="0" t="n">
        <f aca="false">$G$1*G603</f>
        <v>280440.685506764</v>
      </c>
      <c r="G603" s="0" t="n">
        <f aca="false">TANH($E$1*B603*86.4/$G$1)</f>
        <v>0.934802285022546</v>
      </c>
      <c r="H603" s="0" t="n">
        <f aca="false">COSH($E$1*B603*86.4/$G$1)</f>
        <v>2.81556473277519</v>
      </c>
      <c r="I603" s="0" t="n">
        <f aca="false">(($G$1^2*1000)/($E$1*$I$1))*(H603-1)</f>
        <v>1.76058654462876</v>
      </c>
      <c r="J603" s="0" t="n">
        <f aca="false">$J$3*EXP(-$E$1*B603*86.4/$G$1)</f>
        <v>183.568386948048</v>
      </c>
      <c r="K603" s="0" t="n">
        <f aca="false">J602-J603</f>
        <v>0.519365423174492</v>
      </c>
    </row>
    <row r="604" customFormat="false" ht="12.8" hidden="false" customHeight="false" outlineLevel="0" collapsed="false">
      <c r="A604" s="0" t="n">
        <v>1</v>
      </c>
      <c r="B604" s="0" t="n">
        <f aca="false">B603+A604</f>
        <v>601</v>
      </c>
      <c r="C604" s="0" t="n">
        <f aca="false">$C$3+($G$1/($E$1*86.4))*SINH($E$1*B604*86.4/$G$1)</f>
        <v>45538.4070745962</v>
      </c>
      <c r="D604" s="0" t="n">
        <f aca="false">C604-$C$3-B604</f>
        <v>333.407074596158</v>
      </c>
      <c r="E604" s="0" t="n">
        <f aca="false">$E$1*B604*86.4</f>
        <v>509397.984</v>
      </c>
      <c r="F604" s="0" t="n">
        <f aca="false">$G$1*G604</f>
        <v>280547.321807387</v>
      </c>
      <c r="G604" s="0" t="n">
        <f aca="false">TANH($E$1*B604*86.4/$G$1)</f>
        <v>0.935157739357957</v>
      </c>
      <c r="H604" s="0" t="n">
        <f aca="false">COSH($E$1*B604*86.4/$G$1)</f>
        <v>2.82301210652176</v>
      </c>
      <c r="I604" s="0" t="n">
        <f aca="false">(($G$1^2*1000)/($E$1*$I$1))*(H604-1)</f>
        <v>1.76780840005167</v>
      </c>
      <c r="J604" s="0" t="n">
        <f aca="false">$J$3*EXP(-$E$1*B604*86.4/$G$1)</f>
        <v>183.050486806726</v>
      </c>
      <c r="K604" s="0" t="n">
        <f aca="false">J603-J604</f>
        <v>0.517900141322173</v>
      </c>
    </row>
    <row r="605" customFormat="false" ht="12.8" hidden="false" customHeight="false" outlineLevel="0" collapsed="false">
      <c r="A605" s="0" t="n">
        <v>1</v>
      </c>
      <c r="B605" s="0" t="n">
        <f aca="false">B604+A605</f>
        <v>602</v>
      </c>
      <c r="C605" s="0" t="n">
        <f aca="false">$C$3+($G$1/($E$1*86.4))*SINH($E$1*B605*86.4/$G$1)</f>
        <v>45541.2338197762</v>
      </c>
      <c r="D605" s="0" t="n">
        <f aca="false">C605-$C$3-B605</f>
        <v>335.233819776186</v>
      </c>
      <c r="E605" s="0" t="n">
        <f aca="false">$E$1*B605*86.4</f>
        <v>510245.568</v>
      </c>
      <c r="F605" s="0" t="n">
        <f aca="false">$G$1*G605</f>
        <v>280653.396110551</v>
      </c>
      <c r="G605" s="0" t="n">
        <f aca="false">TANH($E$1*B605*86.4/$G$1)</f>
        <v>0.935511320368503</v>
      </c>
      <c r="H605" s="0" t="n">
        <f aca="false">COSH($E$1*B605*86.4/$G$1)</f>
        <v>2.83048201415054</v>
      </c>
      <c r="I605" s="0" t="n">
        <f aca="false">(($G$1^2*1000)/($E$1*$I$1))*(H605-1)</f>
        <v>1.77505210699498</v>
      </c>
      <c r="J605" s="0" t="n">
        <f aca="false">$J$3*EXP(-$E$1*B605*86.4/$G$1)</f>
        <v>182.534047813268</v>
      </c>
      <c r="K605" s="0" t="n">
        <f aca="false">J604-J605</f>
        <v>0.516438993458706</v>
      </c>
    </row>
    <row r="606" customFormat="false" ht="12.8" hidden="false" customHeight="false" outlineLevel="0" collapsed="false">
      <c r="A606" s="0" t="n">
        <v>1</v>
      </c>
      <c r="B606" s="0" t="n">
        <f aca="false">B605+A606</f>
        <v>603</v>
      </c>
      <c r="C606" s="0" t="n">
        <f aca="false">$C$3+($G$1/($E$1*86.4))*SINH($E$1*B606*86.4/$G$1)</f>
        <v>45544.0680461556</v>
      </c>
      <c r="D606" s="0" t="n">
        <f aca="false">C606-$C$3-B606</f>
        <v>337.068046155626</v>
      </c>
      <c r="E606" s="0" t="n">
        <f aca="false">$E$1*B606*86.4</f>
        <v>511093.152</v>
      </c>
      <c r="F606" s="0" t="n">
        <f aca="false">$G$1*G606</f>
        <v>280758.911167296</v>
      </c>
      <c r="G606" s="0" t="n">
        <f aca="false">TANH($E$1*B606*86.4/$G$1)</f>
        <v>0.935863037224321</v>
      </c>
      <c r="H606" s="0" t="n">
        <f aca="false">COSH($E$1*B606*86.4/$G$1)</f>
        <v>2.83797451528791</v>
      </c>
      <c r="I606" s="0" t="n">
        <f aca="false">(($G$1^2*1000)/($E$1*$I$1))*(H606-1)</f>
        <v>1.78231772327952</v>
      </c>
      <c r="J606" s="0" t="n">
        <f aca="false">$J$3*EXP(-$E$1*B606*86.4/$G$1)</f>
        <v>182.019065845347</v>
      </c>
      <c r="K606" s="0" t="n">
        <f aca="false">J605-J606</f>
        <v>0.514981967921045</v>
      </c>
    </row>
    <row r="607" customFormat="false" ht="12.8" hidden="false" customHeight="false" outlineLevel="0" collapsed="false">
      <c r="A607" s="0" t="n">
        <v>1</v>
      </c>
      <c r="B607" s="0" t="n">
        <f aca="false">B606+A607</f>
        <v>604</v>
      </c>
      <c r="C607" s="0" t="n">
        <f aca="false">$C$3+($G$1/($E$1*86.4))*SINH($E$1*B607*86.4/$G$1)</f>
        <v>45546.9097763579</v>
      </c>
      <c r="D607" s="0" t="n">
        <f aca="false">C607-$C$3-B607</f>
        <v>338.909776357868</v>
      </c>
      <c r="E607" s="0" t="n">
        <f aca="false">$E$1*B607*86.4</f>
        <v>511940.736</v>
      </c>
      <c r="F607" s="0" t="n">
        <f aca="false">$G$1*G607</f>
        <v>280863.869717494</v>
      </c>
      <c r="G607" s="0" t="n">
        <f aca="false">TANH($E$1*B607*86.4/$G$1)</f>
        <v>0.936212899058315</v>
      </c>
      <c r="H607" s="0" t="n">
        <f aca="false">COSH($E$1*B607*86.4/$G$1)</f>
        <v>2.84548966974062</v>
      </c>
      <c r="I607" s="0" t="n">
        <f aca="false">(($G$1^2*1000)/($E$1*$I$1))*(H607-1)</f>
        <v>1.78960530690097</v>
      </c>
      <c r="J607" s="0" t="n">
        <f aca="false">$J$3*EXP(-$E$1*B607*86.4/$G$1)</f>
        <v>181.505536792268</v>
      </c>
      <c r="K607" s="0" t="n">
        <f aca="false">J606-J607</f>
        <v>0.513529053078798</v>
      </c>
    </row>
    <row r="608" customFormat="false" ht="12.8" hidden="false" customHeight="false" outlineLevel="0" collapsed="false">
      <c r="A608" s="0" t="n">
        <v>1</v>
      </c>
      <c r="B608" s="0" t="n">
        <f aca="false">B607+A608</f>
        <v>605</v>
      </c>
      <c r="C608" s="0" t="n">
        <f aca="false">$C$3+($G$1/($E$1*86.4))*SINH($E$1*B608*86.4/$G$1)</f>
        <v>45549.7590330662</v>
      </c>
      <c r="D608" s="0" t="n">
        <f aca="false">C608-$C$3-B608</f>
        <v>340.759033066206</v>
      </c>
      <c r="E608" s="0" t="n">
        <f aca="false">$E$1*B608*86.4</f>
        <v>512788.32</v>
      </c>
      <c r="F608" s="0" t="n">
        <f aca="false">$G$1*G608</f>
        <v>280968.274489867</v>
      </c>
      <c r="G608" s="0" t="n">
        <f aca="false">TANH($E$1*B608*86.4/$G$1)</f>
        <v>0.936560914966222</v>
      </c>
      <c r="H608" s="0" t="n">
        <f aca="false">COSH($E$1*B608*86.4/$G$1)</f>
        <v>2.85302753749623</v>
      </c>
      <c r="I608" s="0" t="n">
        <f aca="false">(($G$1^2*1000)/($E$1*$I$1))*(H608-1)</f>
        <v>1.79691491603036</v>
      </c>
      <c r="J608" s="0" t="n">
        <f aca="false">$J$3*EXP(-$E$1*B608*86.4/$G$1)</f>
        <v>180.993456554933</v>
      </c>
      <c r="K608" s="0" t="n">
        <f aca="false">J607-J608</f>
        <v>0.512080237334487</v>
      </c>
    </row>
    <row r="609" customFormat="false" ht="12.8" hidden="false" customHeight="false" outlineLevel="0" collapsed="false">
      <c r="A609" s="0" t="n">
        <v>1</v>
      </c>
      <c r="B609" s="0" t="n">
        <f aca="false">B608+A609</f>
        <v>606</v>
      </c>
      <c r="C609" s="0" t="n">
        <f aca="false">$C$3+($G$1/($E$1*86.4))*SINH($E$1*B609*86.4/$G$1)</f>
        <v>45552.615839024</v>
      </c>
      <c r="D609" s="0" t="n">
        <f aca="false">C609-$C$3-B609</f>
        <v>342.615839024016</v>
      </c>
      <c r="E609" s="0" t="n">
        <f aca="false">$E$1*B609*86.4</f>
        <v>513635.904</v>
      </c>
      <c r="F609" s="0" t="n">
        <f aca="false">$G$1*G609</f>
        <v>281072.128202004</v>
      </c>
      <c r="G609" s="0" t="n">
        <f aca="false">TANH($E$1*B609*86.4/$G$1)</f>
        <v>0.93690709400668</v>
      </c>
      <c r="H609" s="0" t="n">
        <f aca="false">COSH($E$1*B609*86.4/$G$1)</f>
        <v>2.86058817872358</v>
      </c>
      <c r="I609" s="0" t="n">
        <f aca="false">(($G$1^2*1000)/($E$1*$I$1))*(H609-1)</f>
        <v>1.80424660901456</v>
      </c>
      <c r="J609" s="0" t="n">
        <f aca="false">$J$3*EXP(-$E$1*B609*86.4/$G$1)</f>
        <v>180.48282104581</v>
      </c>
      <c r="K609" s="0" t="n">
        <f aca="false">J608-J609</f>
        <v>0.510635509123404</v>
      </c>
    </row>
    <row r="610" customFormat="false" ht="12.8" hidden="false" customHeight="false" outlineLevel="0" collapsed="false">
      <c r="A610" s="0" t="n">
        <v>1</v>
      </c>
      <c r="B610" s="0" t="n">
        <f aca="false">B609+A610</f>
        <v>607</v>
      </c>
      <c r="C610" s="0" t="n">
        <f aca="false">$C$3+($G$1/($E$1*86.4))*SINH($E$1*B610*86.4/$G$1)</f>
        <v>45555.4802170349</v>
      </c>
      <c r="D610" s="0" t="n">
        <f aca="false">C610-$C$3-B610</f>
        <v>344.480217034929</v>
      </c>
      <c r="E610" s="0" t="n">
        <f aca="false">$E$1*B610*86.4</f>
        <v>514483.488</v>
      </c>
      <c r="F610" s="0" t="n">
        <f aca="false">$G$1*G610</f>
        <v>281175.433560388</v>
      </c>
      <c r="G610" s="0" t="n">
        <f aca="false">TANH($E$1*B610*86.4/$G$1)</f>
        <v>0.937251445201292</v>
      </c>
      <c r="H610" s="0" t="n">
        <f aca="false">COSH($E$1*B610*86.4/$G$1)</f>
        <v>2.86817165377333</v>
      </c>
      <c r="I610" s="0" t="n">
        <f aca="false">(($G$1^2*1000)/($E$1*$I$1))*(H610-1)</f>
        <v>1.81160044437669</v>
      </c>
      <c r="J610" s="0" t="n">
        <f aca="false">$J$3*EXP(-$E$1*B610*86.4/$G$1)</f>
        <v>179.973626188896</v>
      </c>
      <c r="K610" s="0" t="n">
        <f aca="false">J609-J610</f>
        <v>0.50919485691341</v>
      </c>
    </row>
    <row r="611" customFormat="false" ht="12.8" hidden="false" customHeight="false" outlineLevel="0" collapsed="false">
      <c r="A611" s="0" t="n">
        <v>1</v>
      </c>
      <c r="B611" s="0" t="n">
        <f aca="false">B610+A611</f>
        <v>608</v>
      </c>
      <c r="C611" s="0" t="n">
        <f aca="false">$C$3+($G$1/($E$1*86.4))*SINH($E$1*B611*86.4/$G$1)</f>
        <v>45558.352189963</v>
      </c>
      <c r="D611" s="0" t="n">
        <f aca="false">C611-$C$3-B611</f>
        <v>346.352189963014</v>
      </c>
      <c r="E611" s="0" t="n">
        <f aca="false">$E$1*B611*86.4</f>
        <v>515331.072</v>
      </c>
      <c r="F611" s="0" t="n">
        <f aca="false">$G$1*G611</f>
        <v>281278.19326041</v>
      </c>
      <c r="G611" s="0" t="n">
        <f aca="false">TANH($E$1*B611*86.4/$G$1)</f>
        <v>0.937593977534698</v>
      </c>
      <c r="H611" s="0" t="n">
        <f aca="false">COSH($E$1*B611*86.4/$G$1)</f>
        <v>2.87577802317839</v>
      </c>
      <c r="I611" s="0" t="n">
        <f aca="false">(($G$1^2*1000)/($E$1*$I$1))*(H611-1)</f>
        <v>1.81897648081663</v>
      </c>
      <c r="J611" s="0" t="n">
        <f aca="false">$J$3*EXP(-$E$1*B611*86.4/$G$1)</f>
        <v>179.465867919691</v>
      </c>
      <c r="K611" s="0" t="n">
        <f aca="false">J610-J611</f>
        <v>0.507758269204999</v>
      </c>
    </row>
    <row r="612" customFormat="false" ht="12.8" hidden="false" customHeight="false" outlineLevel="0" collapsed="false">
      <c r="A612" s="0" t="n">
        <v>1</v>
      </c>
      <c r="B612" s="0" t="n">
        <f aca="false">B611+A612</f>
        <v>609</v>
      </c>
      <c r="C612" s="0" t="n">
        <f aca="false">$C$3+($G$1/($E$1*86.4))*SINH($E$1*B612*86.4/$G$1)</f>
        <v>45561.231780733</v>
      </c>
      <c r="D612" s="0" t="n">
        <f aca="false">C612-$C$3-B612</f>
        <v>348.231780732967</v>
      </c>
      <c r="E612" s="0" t="n">
        <f aca="false">$E$1*B612*86.4</f>
        <v>516178.656</v>
      </c>
      <c r="F612" s="0" t="n">
        <f aca="false">$G$1*G612</f>
        <v>281380.409986393</v>
      </c>
      <c r="G612" s="0" t="n">
        <f aca="false">TANH($E$1*B612*86.4/$G$1)</f>
        <v>0.937934699954642</v>
      </c>
      <c r="H612" s="0" t="n">
        <f aca="false">COSH($E$1*B612*86.4/$G$1)</f>
        <v>2.88340734765441</v>
      </c>
      <c r="I612" s="0" t="n">
        <f aca="false">(($G$1^2*1000)/($E$1*$I$1))*(H612-1)</f>
        <v>1.82637477721147</v>
      </c>
      <c r="J612" s="0" t="n">
        <f aca="false">$J$3*EXP(-$E$1*B612*86.4/$G$1)</f>
        <v>178.959542185161</v>
      </c>
      <c r="K612" s="0" t="n">
        <f aca="false">J611-J612</f>
        <v>0.506325734530776</v>
      </c>
    </row>
    <row r="613" customFormat="false" ht="12.8" hidden="false" customHeight="false" outlineLevel="0" collapsed="false">
      <c r="A613" s="0" t="n">
        <v>1</v>
      </c>
      <c r="B613" s="0" t="n">
        <f aca="false">B612+A613</f>
        <v>610</v>
      </c>
      <c r="C613" s="0" t="n">
        <f aca="false">$C$3+($G$1/($E$1*86.4))*SINH($E$1*B613*86.4/$G$1)</f>
        <v>45564.1190123303</v>
      </c>
      <c r="D613" s="0" t="n">
        <f aca="false">C613-$C$3-B613</f>
        <v>350.11901233031</v>
      </c>
      <c r="E613" s="0" t="n">
        <f aca="false">$E$1*B613*86.4</f>
        <v>517026.24</v>
      </c>
      <c r="F613" s="0" t="n">
        <f aca="false">$G$1*G613</f>
        <v>281482.086411613</v>
      </c>
      <c r="G613" s="0" t="n">
        <f aca="false">TANH($E$1*B613*86.4/$G$1)</f>
        <v>0.938273621372042</v>
      </c>
      <c r="H613" s="0" t="n">
        <f aca="false">COSH($E$1*B613*86.4/$G$1)</f>
        <v>2.89105968810028</v>
      </c>
      <c r="I613" s="0" t="n">
        <f aca="false">(($G$1^2*1000)/($E$1*$I$1))*(H613-1)</f>
        <v>1.83379539261598</v>
      </c>
      <c r="J613" s="0" t="n">
        <f aca="false">$J$3*EXP(-$E$1*B613*86.4/$G$1)</f>
        <v>178.454644943704</v>
      </c>
      <c r="K613" s="0" t="n">
        <f aca="false">J612-J613</f>
        <v>0.504897241456291</v>
      </c>
    </row>
    <row r="614" customFormat="false" ht="12.8" hidden="false" customHeight="false" outlineLevel="0" collapsed="false">
      <c r="A614" s="0" t="n">
        <v>1</v>
      </c>
      <c r="B614" s="0" t="n">
        <f aca="false">B613+A614</f>
        <v>611</v>
      </c>
      <c r="C614" s="0" t="n">
        <f aca="false">$C$3+($G$1/($E$1*86.4))*SINH($E$1*B614*86.4/$G$1)</f>
        <v>45567.0139078015</v>
      </c>
      <c r="D614" s="0" t="n">
        <f aca="false">C614-$C$3-B614</f>
        <v>352.01390780152</v>
      </c>
      <c r="E614" s="0" t="n">
        <f aca="false">$E$1*B614*86.4</f>
        <v>517873.824</v>
      </c>
      <c r="F614" s="0" t="n">
        <f aca="false">$G$1*G614</f>
        <v>281583.225198319</v>
      </c>
      <c r="G614" s="0" t="n">
        <f aca="false">TANH($E$1*B614*86.4/$G$1)</f>
        <v>0.938610750661062</v>
      </c>
      <c r="H614" s="0" t="n">
        <f aca="false">COSH($E$1*B614*86.4/$G$1)</f>
        <v>2.8987351055986</v>
      </c>
      <c r="I614" s="0" t="n">
        <f aca="false">(($G$1^2*1000)/($E$1*$I$1))*(H614-1)</f>
        <v>1.84123838626309</v>
      </c>
      <c r="J614" s="0" t="n">
        <f aca="false">$J$3*EXP(-$E$1*B614*86.4/$G$1)</f>
        <v>177.951172165126</v>
      </c>
      <c r="K614" s="0" t="n">
        <f aca="false">J613-J614</f>
        <v>0.50347277857864</v>
      </c>
    </row>
    <row r="615" customFormat="false" ht="12.8" hidden="false" customHeight="false" outlineLevel="0" collapsed="false">
      <c r="A615" s="0" t="n">
        <v>1</v>
      </c>
      <c r="B615" s="0" t="n">
        <f aca="false">B614+A615</f>
        <v>612</v>
      </c>
      <c r="C615" s="0" t="n">
        <f aca="false">$C$3+($G$1/($E$1*86.4))*SINH($E$1*B615*86.4/$G$1)</f>
        <v>45569.9164902543</v>
      </c>
      <c r="D615" s="0" t="n">
        <f aca="false">C615-$C$3-B615</f>
        <v>353.916490254276</v>
      </c>
      <c r="E615" s="0" t="n">
        <f aca="false">$E$1*B615*86.4</f>
        <v>518721.408</v>
      </c>
      <c r="F615" s="0" t="n">
        <f aca="false">$G$1*G615</f>
        <v>281683.828997755</v>
      </c>
      <c r="G615" s="0" t="n">
        <f aca="false">TANH($E$1*B615*86.4/$G$1)</f>
        <v>0.938946096659184</v>
      </c>
      <c r="H615" s="0" t="n">
        <f aca="false">COSH($E$1*B615*86.4/$G$1)</f>
        <v>2.9064336614162</v>
      </c>
      <c r="I615" s="0" t="n">
        <f aca="false">(($G$1^2*1000)/($E$1*$I$1))*(H615-1)</f>
        <v>1.84870381756436</v>
      </c>
      <c r="J615" s="0" t="n">
        <f aca="false">$J$3*EXP(-$E$1*B615*86.4/$G$1)</f>
        <v>177.449119830598</v>
      </c>
      <c r="K615" s="0" t="n">
        <f aca="false">J614-J615</f>
        <v>0.502052334527775</v>
      </c>
    </row>
    <row r="616" customFormat="false" ht="12.8" hidden="false" customHeight="false" outlineLevel="0" collapsed="false">
      <c r="A616" s="0" t="n">
        <v>1</v>
      </c>
      <c r="B616" s="0" t="n">
        <f aca="false">B615+A616</f>
        <v>613</v>
      </c>
      <c r="C616" s="0" t="n">
        <f aca="false">$C$3+($G$1/($E$1*86.4))*SINH($E$1*B616*86.4/$G$1)</f>
        <v>45572.8267828576</v>
      </c>
      <c r="D616" s="0" t="n">
        <f aca="false">C616-$C$3-B616</f>
        <v>355.826782857606</v>
      </c>
      <c r="E616" s="0" t="n">
        <f aca="false">$E$1*B616*86.4</f>
        <v>519568.992</v>
      </c>
      <c r="F616" s="0" t="n">
        <f aca="false">$G$1*G616</f>
        <v>281783.900450184</v>
      </c>
      <c r="G616" s="0" t="n">
        <f aca="false">TANH($E$1*B616*86.4/$G$1)</f>
        <v>0.939279668167281</v>
      </c>
      <c r="H616" s="0" t="n">
        <f aca="false">COSH($E$1*B616*86.4/$G$1)</f>
        <v>2.91415541700457</v>
      </c>
      <c r="I616" s="0" t="n">
        <f aca="false">(($G$1^2*1000)/($E$1*$I$1))*(H616-1)</f>
        <v>1.85619174611043</v>
      </c>
      <c r="J616" s="0" t="n">
        <f aca="false">$J$3*EXP(-$E$1*B616*86.4/$G$1)</f>
        <v>176.948483932633</v>
      </c>
      <c r="K616" s="0" t="n">
        <f aca="false">J615-J616</f>
        <v>0.500635897965168</v>
      </c>
    </row>
    <row r="617" customFormat="false" ht="12.8" hidden="false" customHeight="false" outlineLevel="0" collapsed="false">
      <c r="A617" s="0" t="n">
        <v>1</v>
      </c>
      <c r="B617" s="0" t="n">
        <f aca="false">B616+A617</f>
        <v>614</v>
      </c>
      <c r="C617" s="0" t="n">
        <f aca="false">$C$3+($G$1/($E$1*86.4))*SINH($E$1*B617*86.4/$G$1)</f>
        <v>45575.7448088421</v>
      </c>
      <c r="D617" s="0" t="n">
        <f aca="false">C617-$C$3-B617</f>
        <v>357.744808842086</v>
      </c>
      <c r="E617" s="0" t="n">
        <f aca="false">$E$1*B617*86.4</f>
        <v>520416.576</v>
      </c>
      <c r="F617" s="0" t="n">
        <f aca="false">$G$1*G617</f>
        <v>281883.442184907</v>
      </c>
      <c r="G617" s="0" t="n">
        <f aca="false">TANH($E$1*B617*86.4/$G$1)</f>
        <v>0.939611473949689</v>
      </c>
      <c r="H617" s="0" t="n">
        <f aca="false">COSH($E$1*B617*86.4/$G$1)</f>
        <v>2.92190043400042</v>
      </c>
      <c r="I617" s="0" t="n">
        <f aca="false">(($G$1^2*1000)/($E$1*$I$1))*(H617-1)</f>
        <v>1.86370223167156</v>
      </c>
      <c r="J617" s="0" t="n">
        <f aca="false">$J$3*EXP(-$E$1*B617*86.4/$G$1)</f>
        <v>176.449260475048</v>
      </c>
      <c r="K617" s="0" t="n">
        <f aca="false">J616-J617</f>
        <v>0.499223457584691</v>
      </c>
    </row>
    <row r="618" customFormat="false" ht="12.8" hidden="false" customHeight="false" outlineLevel="0" collapsed="false">
      <c r="A618" s="0" t="n">
        <v>1</v>
      </c>
      <c r="B618" s="0" t="n">
        <f aca="false">B617+A618</f>
        <v>615</v>
      </c>
      <c r="C618" s="0" t="n">
        <f aca="false">$C$3+($G$1/($E$1*86.4))*SINH($E$1*B618*86.4/$G$1)</f>
        <v>45578.6705915</v>
      </c>
      <c r="D618" s="0" t="n">
        <f aca="false">C618-$C$3-B618</f>
        <v>359.670591500013</v>
      </c>
      <c r="E618" s="0" t="n">
        <f aca="false">$E$1*B618*86.4</f>
        <v>521264.16</v>
      </c>
      <c r="F618" s="0" t="n">
        <f aca="false">$G$1*G618</f>
        <v>281982.456820285</v>
      </c>
      <c r="G618" s="0" t="n">
        <f aca="false">TANH($E$1*B618*86.4/$G$1)</f>
        <v>0.939941522734284</v>
      </c>
      <c r="H618" s="0" t="n">
        <f aca="false">COSH($E$1*B618*86.4/$G$1)</f>
        <v>2.9296687742261</v>
      </c>
      <c r="I618" s="0" t="n">
        <f aca="false">(($G$1^2*1000)/($E$1*$I$1))*(H618-1)</f>
        <v>1.87123533419803</v>
      </c>
      <c r="J618" s="0" t="n">
        <f aca="false">$J$3*EXP(-$E$1*B618*86.4/$G$1)</f>
        <v>175.951445472936</v>
      </c>
      <c r="K618" s="0" t="n">
        <f aca="false">J617-J618</f>
        <v>0.497815002111878</v>
      </c>
    </row>
    <row r="619" customFormat="false" ht="12.8" hidden="false" customHeight="false" outlineLevel="0" collapsed="false">
      <c r="A619" s="0" t="n">
        <v>1</v>
      </c>
      <c r="B619" s="0" t="n">
        <f aca="false">B618+A619</f>
        <v>616</v>
      </c>
      <c r="C619" s="0" t="n">
        <f aca="false">$C$3+($G$1/($E$1*86.4))*SINH($E$1*B619*86.4/$G$1)</f>
        <v>45581.6041541856</v>
      </c>
      <c r="D619" s="0" t="n">
        <f aca="false">C619-$C$3-B619</f>
        <v>361.604154185618</v>
      </c>
      <c r="E619" s="0" t="n">
        <f aca="false">$E$1*B619*86.4</f>
        <v>522111.744</v>
      </c>
      <c r="F619" s="0" t="n">
        <f aca="false">$G$1*G619</f>
        <v>282080.946963766</v>
      </c>
      <c r="G619" s="0" t="n">
        <f aca="false">TANH($E$1*B619*86.4/$G$1)</f>
        <v>0.940269823212554</v>
      </c>
      <c r="H619" s="0" t="n">
        <f aca="false">COSH($E$1*B619*86.4/$G$1)</f>
        <v>2.93746049969017</v>
      </c>
      <c r="I619" s="0" t="n">
        <f aca="false">(($G$1^2*1000)/($E$1*$I$1))*(H619-1)</f>
        <v>1.87879111382067</v>
      </c>
      <c r="J619" s="0" t="n">
        <f aca="false">$J$3*EXP(-$E$1*B619*86.4/$G$1)</f>
        <v>175.455034952632</v>
      </c>
      <c r="K619" s="0" t="n">
        <f aca="false">J618-J619</f>
        <v>0.496410520304096</v>
      </c>
    </row>
    <row r="620" customFormat="false" ht="12.8" hidden="false" customHeight="false" outlineLevel="0" collapsed="false">
      <c r="A620" s="0" t="n">
        <v>1</v>
      </c>
      <c r="B620" s="0" t="n">
        <f aca="false">B619+A620</f>
        <v>617</v>
      </c>
      <c r="C620" s="0" t="n">
        <f aca="false">$C$3+($G$1/($E$1*86.4))*SINH($E$1*B620*86.4/$G$1)</f>
        <v>45584.5455203152</v>
      </c>
      <c r="D620" s="0" t="n">
        <f aca="false">C620-$C$3-B620</f>
        <v>363.545520315209</v>
      </c>
      <c r="E620" s="0" t="n">
        <f aca="false">$E$1*B620*86.4</f>
        <v>522959.328</v>
      </c>
      <c r="F620" s="0" t="n">
        <f aca="false">$G$1*G620</f>
        <v>282178.915211904</v>
      </c>
      <c r="G620" s="0" t="n">
        <f aca="false">TANH($E$1*B620*86.4/$G$1)</f>
        <v>0.94059638403968</v>
      </c>
      <c r="H620" s="0" t="n">
        <f aca="false">COSH($E$1*B620*86.4/$G$1)</f>
        <v>2.94527567258783</v>
      </c>
      <c r="I620" s="0" t="n">
        <f aca="false">(($G$1^2*1000)/($E$1*$I$1))*(H620-1)</f>
        <v>1.88636963085131</v>
      </c>
      <c r="J620" s="0" t="n">
        <f aca="false">$J$3*EXP(-$E$1*B620*86.4/$G$1)</f>
        <v>174.960024951681</v>
      </c>
      <c r="K620" s="0" t="n">
        <f aca="false">J619-J620</f>
        <v>0.495010000950629</v>
      </c>
    </row>
    <row r="621" customFormat="false" ht="12.8" hidden="false" customHeight="false" outlineLevel="0" collapsed="false">
      <c r="A621" s="0" t="n">
        <v>1</v>
      </c>
      <c r="B621" s="0" t="n">
        <f aca="false">B620+A621</f>
        <v>618</v>
      </c>
      <c r="C621" s="0" t="n">
        <f aca="false">$C$3+($G$1/($E$1*86.4))*SINH($E$1*B621*86.4/$G$1)</f>
        <v>45587.4947133674</v>
      </c>
      <c r="D621" s="0" t="n">
        <f aca="false">C621-$C$3-B621</f>
        <v>365.494713367392</v>
      </c>
      <c r="E621" s="0" t="n">
        <f aca="false">$E$1*B621*86.4</f>
        <v>523806.912</v>
      </c>
      <c r="F621" s="0" t="n">
        <f aca="false">$G$1*G621</f>
        <v>282276.364150382</v>
      </c>
      <c r="G621" s="0" t="n">
        <f aca="false">TANH($E$1*B621*86.4/$G$1)</f>
        <v>0.940921213834606</v>
      </c>
      <c r="H621" s="0" t="n">
        <f aca="false">COSH($E$1*B621*86.4/$G$1)</f>
        <v>2.95311435530144</v>
      </c>
      <c r="I621" s="0" t="n">
        <f aca="false">(($G$1^2*1000)/($E$1*$I$1))*(H621-1)</f>
        <v>1.89397094578328</v>
      </c>
      <c r="J621" s="0" t="n">
        <f aca="false">$J$3*EXP(-$E$1*B621*86.4/$G$1)</f>
        <v>174.46641151881</v>
      </c>
      <c r="K621" s="0" t="n">
        <f aca="false">J620-J621</f>
        <v>0.493613432871939</v>
      </c>
    </row>
    <row r="622" customFormat="false" ht="12.8" hidden="false" customHeight="false" outlineLevel="0" collapsed="false">
      <c r="A622" s="0" t="n">
        <v>1</v>
      </c>
      <c r="B622" s="0" t="n">
        <f aca="false">B621+A622</f>
        <v>619</v>
      </c>
      <c r="C622" s="0" t="n">
        <f aca="false">$C$3+($G$1/($E$1*86.4))*SINH($E$1*B622*86.4/$G$1)</f>
        <v>45590.4517568833</v>
      </c>
      <c r="D622" s="0" t="n">
        <f aca="false">C622-$C$3-B622</f>
        <v>367.451756883267</v>
      </c>
      <c r="E622" s="0" t="n">
        <f aca="false">$E$1*B622*86.4</f>
        <v>524654.496</v>
      </c>
      <c r="F622" s="0" t="n">
        <f aca="false">$G$1*G622</f>
        <v>282373.296354037</v>
      </c>
      <c r="G622" s="0" t="n">
        <f aca="false">TANH($E$1*B622*86.4/$G$1)</f>
        <v>0.941244321180124</v>
      </c>
      <c r="H622" s="0" t="n">
        <f aca="false">COSH($E$1*B622*86.4/$G$1)</f>
        <v>2.96097661040105</v>
      </c>
      <c r="I622" s="0" t="n">
        <f aca="false">(($G$1^2*1000)/($E$1*$I$1))*(H622-1)</f>
        <v>1.9015951192919</v>
      </c>
      <c r="J622" s="0" t="n">
        <f aca="false">$J$3*EXP(-$E$1*B622*86.4/$G$1)</f>
        <v>173.974190713889</v>
      </c>
      <c r="K622" s="0" t="n">
        <f aca="false">J621-J622</f>
        <v>0.492220804920692</v>
      </c>
    </row>
    <row r="623" customFormat="false" ht="12.8" hidden="false" customHeight="false" outlineLevel="0" collapsed="false">
      <c r="A623" s="0" t="n">
        <v>1</v>
      </c>
      <c r="B623" s="0" t="n">
        <f aca="false">B622+A623</f>
        <v>620</v>
      </c>
      <c r="C623" s="0" t="n">
        <f aca="false">$C$3+($G$1/($E$1*86.4))*SINH($E$1*B623*86.4/$G$1)</f>
        <v>45593.4166744666</v>
      </c>
      <c r="D623" s="0" t="n">
        <f aca="false">C623-$C$3-B623</f>
        <v>369.416674466578</v>
      </c>
      <c r="E623" s="0" t="n">
        <f aca="false">$E$1*B623*86.4</f>
        <v>525502.08</v>
      </c>
      <c r="F623" s="0" t="n">
        <f aca="false">$G$1*G623</f>
        <v>282469.714386884</v>
      </c>
      <c r="G623" s="0" t="n">
        <f aca="false">TANH($E$1*B623*86.4/$G$1)</f>
        <v>0.941565714622948</v>
      </c>
      <c r="H623" s="0" t="n">
        <f aca="false">COSH($E$1*B623*86.4/$G$1)</f>
        <v>2.96886250064484</v>
      </c>
      <c r="I623" s="0" t="n">
        <f aca="false">(($G$1^2*1000)/($E$1*$I$1))*(H623-1)</f>
        <v>1.90924221223493</v>
      </c>
      <c r="J623" s="0" t="n">
        <f aca="false">$J$3*EXP(-$E$1*B623*86.4/$G$1)</f>
        <v>173.483358607908</v>
      </c>
      <c r="K623" s="0" t="n">
        <f aca="false">J622-J623</f>
        <v>0.49083210598036</v>
      </c>
    </row>
    <row r="624" customFormat="false" ht="12.8" hidden="false" customHeight="false" outlineLevel="0" collapsed="false">
      <c r="A624" s="0" t="n">
        <v>1</v>
      </c>
      <c r="B624" s="0" t="n">
        <f aca="false">B623+A624</f>
        <v>621</v>
      </c>
      <c r="C624" s="0" t="n">
        <f aca="false">$C$3+($G$1/($E$1*86.4))*SINH($E$1*B624*86.4/$G$1)</f>
        <v>45596.3894897839</v>
      </c>
      <c r="D624" s="0" t="n">
        <f aca="false">C624-$C$3-B624</f>
        <v>371.38948978392</v>
      </c>
      <c r="E624" s="0" t="n">
        <f aca="false">$E$1*B624*86.4</f>
        <v>526349.664</v>
      </c>
      <c r="F624" s="0" t="n">
        <f aca="false">$G$1*G624</f>
        <v>282565.620802138</v>
      </c>
      <c r="G624" s="0" t="n">
        <f aca="false">TANH($E$1*B624*86.4/$G$1)</f>
        <v>0.941885402673794</v>
      </c>
      <c r="H624" s="0" t="n">
        <f aca="false">COSH($E$1*B624*86.4/$G$1)</f>
        <v>2.97677208897966</v>
      </c>
      <c r="I624" s="0" t="n">
        <f aca="false">(($G$1^2*1000)/($E$1*$I$1))*(H624-1)</f>
        <v>1.91691228565311</v>
      </c>
      <c r="J624" s="0" t="n">
        <f aca="false">$J$3*EXP(-$E$1*B624*86.4/$G$1)</f>
        <v>172.993911282942</v>
      </c>
      <c r="K624" s="0" t="n">
        <f aca="false">J623-J624</f>
        <v>0.489447324966193</v>
      </c>
    </row>
    <row r="625" customFormat="false" ht="12.8" hidden="false" customHeight="false" outlineLevel="0" collapsed="false">
      <c r="A625" s="0" t="n">
        <v>1</v>
      </c>
      <c r="B625" s="0" t="n">
        <f aca="false">B624+A625</f>
        <v>622</v>
      </c>
      <c r="C625" s="0" t="n">
        <f aca="false">$C$3+($G$1/($E$1*86.4))*SINH($E$1*B625*86.4/$G$1)</f>
        <v>45599.3702265649</v>
      </c>
      <c r="D625" s="0" t="n">
        <f aca="false">C625-$C$3-B625</f>
        <v>373.370226564941</v>
      </c>
      <c r="E625" s="0" t="n">
        <f aca="false">$E$1*B625*86.4</f>
        <v>527197.248</v>
      </c>
      <c r="F625" s="0" t="n">
        <f aca="false">$G$1*G625</f>
        <v>282661.018142238</v>
      </c>
      <c r="G625" s="0" t="n">
        <f aca="false">TANH($E$1*B625*86.4/$G$1)</f>
        <v>0.94220339380746</v>
      </c>
      <c r="H625" s="0" t="n">
        <f aca="false">COSH($E$1*B625*86.4/$G$1)</f>
        <v>2.98470543854152</v>
      </c>
      <c r="I625" s="0" t="n">
        <f aca="false">(($G$1^2*1000)/($E$1*$I$1))*(H625-1)</f>
        <v>1.92460540077058</v>
      </c>
      <c r="J625" s="0" t="n">
        <f aca="false">$J$3*EXP(-$E$1*B625*86.4/$G$1)</f>
        <v>172.505844832118</v>
      </c>
      <c r="K625" s="0" t="n">
        <f aca="false">J624-J625</f>
        <v>0.488066450824476</v>
      </c>
    </row>
    <row r="626" customFormat="false" ht="12.8" hidden="false" customHeight="false" outlineLevel="0" collapsed="false">
      <c r="A626" s="0" t="n">
        <v>1</v>
      </c>
      <c r="B626" s="0" t="n">
        <f aca="false">B625+A626</f>
        <v>623</v>
      </c>
      <c r="C626" s="0" t="n">
        <f aca="false">$C$3+($G$1/($E$1*86.4))*SINH($E$1*B626*86.4/$G$1)</f>
        <v>45602.3589086025</v>
      </c>
      <c r="D626" s="0" t="n">
        <f aca="false">C626-$C$3-B626</f>
        <v>375.358908602517</v>
      </c>
      <c r="E626" s="0" t="n">
        <f aca="false">$E$1*B626*86.4</f>
        <v>528044.832</v>
      </c>
      <c r="F626" s="0" t="n">
        <f aca="false">$G$1*G626</f>
        <v>282755.908938872</v>
      </c>
      <c r="G626" s="0" t="n">
        <f aca="false">TANH($E$1*B626*86.4/$G$1)</f>
        <v>0.942519696462906</v>
      </c>
      <c r="H626" s="0" t="n">
        <f aca="false">COSH($E$1*B626*86.4/$G$1)</f>
        <v>2.99266261265611</v>
      </c>
      <c r="I626" s="0" t="n">
        <f aca="false">(($G$1^2*1000)/($E$1*$I$1))*(H626-1)</f>
        <v>1.93232161899541</v>
      </c>
      <c r="J626" s="0" t="n">
        <f aca="false">$J$3*EXP(-$E$1*B626*86.4/$G$1)</f>
        <v>172.019155359585</v>
      </c>
      <c r="K626" s="0" t="n">
        <f aca="false">J625-J626</f>
        <v>0.486689472532817</v>
      </c>
    </row>
    <row r="627" customFormat="false" ht="12.8" hidden="false" customHeight="false" outlineLevel="0" collapsed="false">
      <c r="A627" s="0" t="n">
        <v>1</v>
      </c>
      <c r="B627" s="0" t="n">
        <f aca="false">B626+A627</f>
        <v>624</v>
      </c>
      <c r="C627" s="0" t="n">
        <f aca="false">$C$3+($G$1/($E$1*86.4))*SINH($E$1*B627*86.4/$G$1)</f>
        <v>45605.3555597529</v>
      </c>
      <c r="D627" s="0" t="n">
        <f aca="false">C627-$C$3-B627</f>
        <v>377.355559752941</v>
      </c>
      <c r="E627" s="0" t="n">
        <f aca="false">$E$1*B627*86.4</f>
        <v>528892.416</v>
      </c>
      <c r="F627" s="0" t="n">
        <f aca="false">$G$1*G627</f>
        <v>282850.295713002</v>
      </c>
      <c r="G627" s="0" t="n">
        <f aca="false">TANH($E$1*B627*86.4/$G$1)</f>
        <v>0.942834319043339</v>
      </c>
      <c r="H627" s="0" t="n">
        <f aca="false">COSH($E$1*B627*86.4/$G$1)</f>
        <v>3.00064367483928</v>
      </c>
      <c r="I627" s="0" t="n">
        <f aca="false">(($G$1^2*1000)/($E$1*$I$1))*(H627-1)</f>
        <v>1.94006100192012</v>
      </c>
      <c r="J627" s="0" t="n">
        <f aca="false">$J$3*EXP(-$E$1*B627*86.4/$G$1)</f>
        <v>171.533838980485</v>
      </c>
      <c r="K627" s="0" t="n">
        <f aca="false">J626-J627</f>
        <v>0.485316379099942</v>
      </c>
    </row>
    <row r="628" customFormat="false" ht="12.8" hidden="false" customHeight="false" outlineLevel="0" collapsed="false">
      <c r="A628" s="0" t="n">
        <v>1</v>
      </c>
      <c r="B628" s="0" t="n">
        <f aca="false">B627+A628</f>
        <v>625</v>
      </c>
      <c r="C628" s="0" t="n">
        <f aca="false">$C$3+($G$1/($E$1*86.4))*SINH($E$1*B628*86.4/$G$1)</f>
        <v>45608.3602039361</v>
      </c>
      <c r="D628" s="0" t="n">
        <f aca="false">C628-$C$3-B628</f>
        <v>379.360203936121</v>
      </c>
      <c r="E628" s="0" t="n">
        <f aca="false">$E$1*B628*86.4</f>
        <v>529740</v>
      </c>
      <c r="F628" s="0" t="n">
        <f aca="false">$G$1*G628</f>
        <v>282944.180974887</v>
      </c>
      <c r="G628" s="0" t="n">
        <f aca="false">TANH($E$1*B628*86.4/$G$1)</f>
        <v>0.943147269916289</v>
      </c>
      <c r="H628" s="0" t="n">
        <f aca="false">COSH($E$1*B628*86.4/$G$1)</f>
        <v>3.00864868879756</v>
      </c>
      <c r="I628" s="0" t="n">
        <f aca="false">(($G$1^2*1000)/($E$1*$I$1))*(H628-1)</f>
        <v>1.94782361132208</v>
      </c>
      <c r="J628" s="0" t="n">
        <f aca="false">$J$3*EXP(-$E$1*B628*86.4/$G$1)</f>
        <v>171.04989182092</v>
      </c>
      <c r="K628" s="0" t="n">
        <f aca="false">J627-J628</f>
        <v>0.483947159565446</v>
      </c>
    </row>
    <row r="629" customFormat="false" ht="12.8" hidden="false" customHeight="false" outlineLevel="0" collapsed="false">
      <c r="A629" s="0" t="n">
        <v>1</v>
      </c>
      <c r="B629" s="0" t="n">
        <f aca="false">B628+A629</f>
        <v>626</v>
      </c>
      <c r="C629" s="0" t="n">
        <f aca="false">$C$3+($G$1/($E$1*86.4))*SINH($E$1*B629*86.4/$G$1)</f>
        <v>45611.3728651358</v>
      </c>
      <c r="D629" s="0" t="n">
        <f aca="false">C629-$C$3-B629</f>
        <v>381.37286513576</v>
      </c>
      <c r="E629" s="0" t="n">
        <f aca="false">$E$1*B629*86.4</f>
        <v>530587.584</v>
      </c>
      <c r="F629" s="0" t="n">
        <f aca="false">$G$1*G629</f>
        <v>283037.567224109</v>
      </c>
      <c r="G629" s="0" t="n">
        <f aca="false">TANH($E$1*B629*86.4/$G$1)</f>
        <v>0.943458557413695</v>
      </c>
      <c r="H629" s="0" t="n">
        <f aca="false">COSH($E$1*B629*86.4/$G$1)</f>
        <v>3.01667771842868</v>
      </c>
      <c r="I629" s="0" t="n">
        <f aca="false">(($G$1^2*1000)/($E$1*$I$1))*(H629-1)</f>
        <v>1.95560950916411</v>
      </c>
      <c r="J629" s="0" t="n">
        <f aca="false">$J$3*EXP(-$E$1*B629*86.4/$G$1)</f>
        <v>170.56731001792</v>
      </c>
      <c r="K629" s="0" t="n">
        <f aca="false">J628-J629</f>
        <v>0.482581803000016</v>
      </c>
    </row>
    <row r="630" customFormat="false" ht="12.8" hidden="false" customHeight="false" outlineLevel="0" collapsed="false">
      <c r="A630" s="0" t="n">
        <v>1</v>
      </c>
      <c r="B630" s="0" t="n">
        <f aca="false">B629+A630</f>
        <v>627</v>
      </c>
      <c r="C630" s="0" t="n">
        <f aca="false">$C$3+($G$1/($E$1*86.4))*SINH($E$1*B630*86.4/$G$1)</f>
        <v>45614.3935673996</v>
      </c>
      <c r="D630" s="0" t="n">
        <f aca="false">C630-$C$3-B630</f>
        <v>383.393567399558</v>
      </c>
      <c r="E630" s="0" t="n">
        <f aca="false">$E$1*B630*86.4</f>
        <v>531435.168</v>
      </c>
      <c r="F630" s="0" t="n">
        <f aca="false">$G$1*G630</f>
        <v>283130.456949597</v>
      </c>
      <c r="G630" s="0" t="n">
        <f aca="false">TANH($E$1*B630*86.4/$G$1)</f>
        <v>0.943768189831991</v>
      </c>
      <c r="H630" s="0" t="n">
        <f aca="false">COSH($E$1*B630*86.4/$G$1)</f>
        <v>3.02473082782205</v>
      </c>
      <c r="I630" s="0" t="n">
        <f aca="false">(($G$1^2*1000)/($E$1*$I$1))*(H630-1)</f>
        <v>1.96341875759488</v>
      </c>
      <c r="J630" s="0" t="n">
        <f aca="false">$J$3*EXP(-$E$1*B630*86.4/$G$1)</f>
        <v>170.086089719415</v>
      </c>
      <c r="K630" s="0" t="n">
        <f aca="false">J629-J630</f>
        <v>0.481220298504951</v>
      </c>
    </row>
    <row r="631" customFormat="false" ht="12.8" hidden="false" customHeight="false" outlineLevel="0" collapsed="false">
      <c r="A631" s="0" t="n">
        <v>1</v>
      </c>
      <c r="B631" s="0" t="n">
        <f aca="false">B630+A631</f>
        <v>628</v>
      </c>
      <c r="C631" s="0" t="n">
        <f aca="false">$C$3+($G$1/($E$1*86.4))*SINH($E$1*B631*86.4/$G$1)</f>
        <v>45617.4223348394</v>
      </c>
      <c r="D631" s="0" t="n">
        <f aca="false">C631-$C$3-B631</f>
        <v>385.422334839415</v>
      </c>
      <c r="E631" s="0" t="n">
        <f aca="false">$E$1*B631*86.4</f>
        <v>532282.752</v>
      </c>
      <c r="F631" s="0" t="n">
        <f aca="false">$G$1*G631</f>
        <v>283222.852629655</v>
      </c>
      <c r="G631" s="0" t="n">
        <f aca="false">TANH($E$1*B631*86.4/$G$1)</f>
        <v>0.944076175432183</v>
      </c>
      <c r="H631" s="0" t="n">
        <f aca="false">COSH($E$1*B631*86.4/$G$1)</f>
        <v>3.03280808125931</v>
      </c>
      <c r="I631" s="0" t="n">
        <f aca="false">(($G$1^2*1000)/($E$1*$I$1))*(H631-1)</f>
        <v>1.97125141894949</v>
      </c>
      <c r="J631" s="0" t="n">
        <f aca="false">$J$3*EXP(-$E$1*B631*86.4/$G$1)</f>
        <v>169.606227084202</v>
      </c>
      <c r="K631" s="0" t="n">
        <f aca="false">J630-J631</f>
        <v>0.479862635212641</v>
      </c>
    </row>
    <row r="632" customFormat="false" ht="12.8" hidden="false" customHeight="false" outlineLevel="0" collapsed="false">
      <c r="A632" s="0" t="n">
        <v>1</v>
      </c>
      <c r="B632" s="0" t="n">
        <f aca="false">B631+A632</f>
        <v>629</v>
      </c>
      <c r="C632" s="0" t="n">
        <f aca="false">$C$3+($G$1/($E$1*86.4))*SINH($E$1*B632*86.4/$G$1)</f>
        <v>45620.4591916316</v>
      </c>
      <c r="D632" s="0" t="n">
        <f aca="false">C632-$C$3-B632</f>
        <v>387.459191631584</v>
      </c>
      <c r="E632" s="0" t="n">
        <f aca="false">$E$1*B632*86.4</f>
        <v>533130.336</v>
      </c>
      <c r="F632" s="0" t="n">
        <f aca="false">$G$1*G632</f>
        <v>283314.756731983</v>
      </c>
      <c r="G632" s="0" t="n">
        <f aca="false">TANH($E$1*B632*86.4/$G$1)</f>
        <v>0.944382522439942</v>
      </c>
      <c r="H632" s="0" t="n">
        <f aca="false">COSH($E$1*B632*86.4/$G$1)</f>
        <v>3.0409095432148</v>
      </c>
      <c r="I632" s="0" t="n">
        <f aca="false">(($G$1^2*1000)/($E$1*$I$1))*(H632-1)</f>
        <v>1.97910755574989</v>
      </c>
      <c r="J632" s="0" t="n">
        <f aca="false">$J$3*EXP(-$E$1*B632*86.4/$G$1)</f>
        <v>169.127718281916</v>
      </c>
      <c r="K632" s="0" t="n">
        <f aca="false">J631-J632</f>
        <v>0.478508802285688</v>
      </c>
    </row>
    <row r="633" customFormat="false" ht="12.8" hidden="false" customHeight="false" outlineLevel="0" collapsed="false">
      <c r="A633" s="0" t="n">
        <v>1</v>
      </c>
      <c r="B633" s="0" t="n">
        <f aca="false">B632+A633</f>
        <v>630</v>
      </c>
      <c r="C633" s="0" t="n">
        <f aca="false">$C$3+($G$1/($E$1*86.4))*SINH($E$1*B633*86.4/$G$1)</f>
        <v>45623.5041620169</v>
      </c>
      <c r="D633" s="0" t="n">
        <f aca="false">C633-$C$3-B633</f>
        <v>389.504162016907</v>
      </c>
      <c r="E633" s="0" t="n">
        <f aca="false">$E$1*B633*86.4</f>
        <v>533977.92</v>
      </c>
      <c r="F633" s="0" t="n">
        <f aca="false">$G$1*G633</f>
        <v>283406.171713704</v>
      </c>
      <c r="G633" s="0" t="n">
        <f aca="false">TANH($E$1*B633*86.4/$G$1)</f>
        <v>0.944687239045681</v>
      </c>
      <c r="H633" s="0" t="n">
        <f aca="false">COSH($E$1*B633*86.4/$G$1)</f>
        <v>3.04903527835612</v>
      </c>
      <c r="I633" s="0" t="n">
        <f aca="false">(($G$1^2*1000)/($E$1*$I$1))*(H633-1)</f>
        <v>1.98698723070544</v>
      </c>
      <c r="J633" s="0" t="n">
        <f aca="false">$J$3*EXP(-$E$1*B633*86.4/$G$1)</f>
        <v>168.650559492999</v>
      </c>
      <c r="K633" s="0" t="n">
        <f aca="false">J632-J633</f>
        <v>0.47715878891762</v>
      </c>
    </row>
    <row r="634" customFormat="false" ht="12.8" hidden="false" customHeight="false" outlineLevel="0" collapsed="false">
      <c r="A634" s="0" t="n">
        <v>1</v>
      </c>
      <c r="B634" s="0" t="n">
        <f aca="false">B633+A634</f>
        <v>631</v>
      </c>
      <c r="C634" s="0" t="n">
        <f aca="false">$C$3+($G$1/($E$1*86.4))*SINH($E$1*B634*86.4/$G$1)</f>
        <v>45626.557270301</v>
      </c>
      <c r="D634" s="0" t="n">
        <f aca="false">C634-$C$3-B634</f>
        <v>391.557270300975</v>
      </c>
      <c r="E634" s="0" t="n">
        <f aca="false">$E$1*B634*86.4</f>
        <v>534825.504</v>
      </c>
      <c r="F634" s="0" t="n">
        <f aca="false">$G$1*G634</f>
        <v>283497.100021394</v>
      </c>
      <c r="G634" s="0" t="n">
        <f aca="false">TANH($E$1*B634*86.4/$G$1)</f>
        <v>0.944990333404647</v>
      </c>
      <c r="H634" s="0" t="n">
        <f aca="false">COSH($E$1*B634*86.4/$G$1)</f>
        <v>3.05718535154461</v>
      </c>
      <c r="I634" s="0" t="n">
        <f aca="false">(($G$1^2*1000)/($E$1*$I$1))*(H634-1)</f>
        <v>1.99489050671337</v>
      </c>
      <c r="J634" s="0" t="n">
        <f aca="false">$J$3*EXP(-$E$1*B634*86.4/$G$1)</f>
        <v>168.174746908666</v>
      </c>
      <c r="K634" s="0" t="n">
        <f aca="false">J633-J634</f>
        <v>0.475812584332431</v>
      </c>
    </row>
    <row r="635" customFormat="false" ht="12.8" hidden="false" customHeight="false" outlineLevel="0" collapsed="false">
      <c r="A635" s="0" t="n">
        <v>1</v>
      </c>
      <c r="B635" s="0" t="n">
        <f aca="false">B634+A635</f>
        <v>632</v>
      </c>
      <c r="C635" s="0" t="n">
        <f aca="false">$C$3+($G$1/($E$1*86.4))*SINH($E$1*B635*86.4/$G$1)</f>
        <v>45629.6185408544</v>
      </c>
      <c r="D635" s="0" t="n">
        <f aca="false">C635-$C$3-B635</f>
        <v>393.618540854361</v>
      </c>
      <c r="E635" s="0" t="n">
        <f aca="false">$E$1*B635*86.4</f>
        <v>535673.088</v>
      </c>
      <c r="F635" s="0" t="n">
        <f aca="false">$G$1*G635</f>
        <v>283587.544091102</v>
      </c>
      <c r="G635" s="0" t="n">
        <f aca="false">TANH($E$1*B635*86.4/$G$1)</f>
        <v>0.945291813637006</v>
      </c>
      <c r="H635" s="0" t="n">
        <f aca="false">COSH($E$1*B635*86.4/$G$1)</f>
        <v>3.06535982783589</v>
      </c>
      <c r="I635" s="0" t="n">
        <f aca="false">(($G$1^2*1000)/($E$1*$I$1))*(H635-1)</f>
        <v>2.00281744685932</v>
      </c>
      <c r="J635" s="0" t="n">
        <f aca="false">$J$3*EXP(-$E$1*B635*86.4/$G$1)</f>
        <v>167.700276730882</v>
      </c>
      <c r="K635" s="0" t="n">
        <f aca="false">J634-J635</f>
        <v>0.474470177784212</v>
      </c>
    </row>
    <row r="636" customFormat="false" ht="12.8" hidden="false" customHeight="false" outlineLevel="0" collapsed="false">
      <c r="A636" s="0" t="n">
        <v>1</v>
      </c>
      <c r="B636" s="0" t="n">
        <f aca="false">B635+A636</f>
        <v>633</v>
      </c>
      <c r="C636" s="0" t="n">
        <f aca="false">$C$3+($G$1/($E$1*86.4))*SINH($E$1*B636*86.4/$G$1)</f>
        <v>45632.6879981128</v>
      </c>
      <c r="D636" s="0" t="n">
        <f aca="false">C636-$C$3-B636</f>
        <v>395.687998112764</v>
      </c>
      <c r="E636" s="0" t="n">
        <f aca="false">$E$1*B636*86.4</f>
        <v>536520.672</v>
      </c>
      <c r="F636" s="0" t="n">
        <f aca="false">$G$1*G636</f>
        <v>283677.506348378</v>
      </c>
      <c r="G636" s="0" t="n">
        <f aca="false">TANH($E$1*B636*86.4/$G$1)</f>
        <v>0.945591687827927</v>
      </c>
      <c r="H636" s="0" t="n">
        <f aca="false">COSH($E$1*B636*86.4/$G$1)</f>
        <v>3.07355877248036</v>
      </c>
      <c r="I636" s="0" t="n">
        <f aca="false">(($G$1^2*1000)/($E$1*$I$1))*(H636-1)</f>
        <v>2.01076811441781</v>
      </c>
      <c r="J636" s="0" t="n">
        <f aca="false">$J$3*EXP(-$E$1*B636*86.4/$G$1)</f>
        <v>167.227145172324</v>
      </c>
      <c r="K636" s="0" t="n">
        <f aca="false">J635-J636</f>
        <v>0.473131558557895</v>
      </c>
    </row>
    <row r="637" customFormat="false" ht="12.8" hidden="false" customHeight="false" outlineLevel="0" collapsed="false">
      <c r="A637" s="0" t="n">
        <v>1</v>
      </c>
      <c r="B637" s="0" t="n">
        <f aca="false">B636+A637</f>
        <v>634</v>
      </c>
      <c r="C637" s="0" t="n">
        <f aca="false">$C$3+($G$1/($E$1*86.4))*SINH($E$1*B637*86.4/$G$1)</f>
        <v>45635.7656665773</v>
      </c>
      <c r="D637" s="0" t="n">
        <f aca="false">C637-$C$3-B637</f>
        <v>397.765666577252</v>
      </c>
      <c r="E637" s="0" t="n">
        <f aca="false">$E$1*B637*86.4</f>
        <v>537368.256</v>
      </c>
      <c r="F637" s="0" t="n">
        <f aca="false">$G$1*G637</f>
        <v>283766.989208302</v>
      </c>
      <c r="G637" s="0" t="n">
        <f aca="false">TANH($E$1*B637*86.4/$G$1)</f>
        <v>0.945889964027675</v>
      </c>
      <c r="H637" s="0" t="n">
        <f aca="false">COSH($E$1*B637*86.4/$G$1)</f>
        <v>3.08178225092373</v>
      </c>
      <c r="I637" s="0" t="n">
        <f aca="false">(($G$1^2*1000)/($E$1*$I$1))*(H637-1)</f>
        <v>2.01874257285275</v>
      </c>
      <c r="J637" s="0" t="n">
        <f aca="false">$J$3*EXP(-$E$1*B637*86.4/$G$1)</f>
        <v>166.755348456356</v>
      </c>
      <c r="K637" s="0" t="n">
        <f aca="false">J636-J637</f>
        <v>0.471796715968054</v>
      </c>
    </row>
    <row r="638" customFormat="false" ht="12.8" hidden="false" customHeight="false" outlineLevel="0" collapsed="false">
      <c r="A638" s="0" t="n">
        <v>1</v>
      </c>
      <c r="B638" s="0" t="n">
        <f aca="false">B637+A638</f>
        <v>635</v>
      </c>
      <c r="C638" s="0" t="n">
        <f aca="false">$C$3+($G$1/($E$1*86.4))*SINH($E$1*B638*86.4/$G$1)</f>
        <v>45638.8515708144</v>
      </c>
      <c r="D638" s="0" t="n">
        <f aca="false">C638-$C$3-B638</f>
        <v>399.851570814426</v>
      </c>
      <c r="E638" s="0" t="n">
        <f aca="false">$E$1*B638*86.4</f>
        <v>538215.84</v>
      </c>
      <c r="F638" s="0" t="n">
        <f aca="false">$G$1*G638</f>
        <v>283855.995075508</v>
      </c>
      <c r="G638" s="0" t="n">
        <f aca="false">TANH($E$1*B638*86.4/$G$1)</f>
        <v>0.946186650251694</v>
      </c>
      <c r="H638" s="0" t="n">
        <f aca="false">COSH($E$1*B638*86.4/$G$1)</f>
        <v>3.09003032880757</v>
      </c>
      <c r="I638" s="0" t="n">
        <f aca="false">(($G$1^2*1000)/($E$1*$I$1))*(H638-1)</f>
        <v>2.02674088581796</v>
      </c>
      <c r="J638" s="0" t="n">
        <f aca="false">$J$3*EXP(-$E$1*B638*86.4/$G$1)</f>
        <v>166.284882816996</v>
      </c>
      <c r="K638" s="0" t="n">
        <f aca="false">J637-J638</f>
        <v>0.470465639359901</v>
      </c>
    </row>
    <row r="639" customFormat="false" ht="12.8" hidden="false" customHeight="false" outlineLevel="0" collapsed="false">
      <c r="A639" s="0" t="n">
        <v>1</v>
      </c>
      <c r="B639" s="0" t="n">
        <f aca="false">B638+A639</f>
        <v>636</v>
      </c>
      <c r="C639" s="0" t="n">
        <f aca="false">$C$3+($G$1/($E$1*86.4))*SINH($E$1*B639*86.4/$G$1)</f>
        <v>45641.9457354566</v>
      </c>
      <c r="D639" s="0" t="n">
        <f aca="false">C639-$C$3-B639</f>
        <v>401.945735456626</v>
      </c>
      <c r="E639" s="0" t="n">
        <f aca="false">$E$1*B639*86.4</f>
        <v>539063.424</v>
      </c>
      <c r="F639" s="0" t="n">
        <f aca="false">$G$1*G639</f>
        <v>283944.526344209</v>
      </c>
      <c r="G639" s="0" t="n">
        <f aca="false">TANH($E$1*B639*86.4/$G$1)</f>
        <v>0.946481754480698</v>
      </c>
      <c r="H639" s="0" t="n">
        <f aca="false">COSH($E$1*B639*86.4/$G$1)</f>
        <v>3.09830307196978</v>
      </c>
      <c r="I639" s="0" t="n">
        <f aca="false">(($G$1^2*1000)/($E$1*$I$1))*(H639-1)</f>
        <v>2.03476311715767</v>
      </c>
      <c r="J639" s="0" t="n">
        <f aca="false">$J$3*EXP(-$E$1*B639*86.4/$G$1)</f>
        <v>165.815744498888</v>
      </c>
      <c r="K639" s="0" t="n">
        <f aca="false">J638-J639</f>
        <v>0.469138318108321</v>
      </c>
    </row>
    <row r="640" customFormat="false" ht="12.8" hidden="false" customHeight="false" outlineLevel="0" collapsed="false">
      <c r="A640" s="0" t="n">
        <v>1</v>
      </c>
      <c r="B640" s="0" t="n">
        <f aca="false">B639+A640</f>
        <v>637</v>
      </c>
      <c r="C640" s="0" t="n">
        <f aca="false">$C$3+($G$1/($E$1*86.4))*SINH($E$1*B640*86.4/$G$1)</f>
        <v>45645.0481852021</v>
      </c>
      <c r="D640" s="0" t="n">
        <f aca="false">C640-$C$3-B640</f>
        <v>404.048185202133</v>
      </c>
      <c r="E640" s="0" t="n">
        <f aca="false">$E$1*B640*86.4</f>
        <v>539911.008</v>
      </c>
      <c r="F640" s="0" t="n">
        <f aca="false">$G$1*G640</f>
        <v>284032.585398228</v>
      </c>
      <c r="G640" s="0" t="n">
        <f aca="false">TANH($E$1*B640*86.4/$G$1)</f>
        <v>0.94677528466076</v>
      </c>
      <c r="H640" s="0" t="n">
        <f aca="false">COSH($E$1*B640*86.4/$G$1)</f>
        <v>3.10660054644515</v>
      </c>
      <c r="I640" s="0" t="n">
        <f aca="false">(($G$1^2*1000)/($E$1*$I$1))*(H640-1)</f>
        <v>2.04280933090705</v>
      </c>
      <c r="J640" s="0" t="n">
        <f aca="false">$J$3*EXP(-$E$1*B640*86.4/$G$1)</f>
        <v>165.34792975727</v>
      </c>
      <c r="K640" s="0" t="n">
        <f aca="false">J639-J640</f>
        <v>0.467814741618355</v>
      </c>
    </row>
    <row r="641" customFormat="false" ht="12.8" hidden="false" customHeight="false" outlineLevel="0" collapsed="false">
      <c r="A641" s="0" t="n">
        <v>1</v>
      </c>
      <c r="B641" s="0" t="n">
        <f aca="false">B640+A641</f>
        <v>638</v>
      </c>
      <c r="C641" s="0" t="n">
        <f aca="false">$C$3+($G$1/($E$1*86.4))*SINH($E$1*B641*86.4/$G$1)</f>
        <v>45648.1589448154</v>
      </c>
      <c r="D641" s="0" t="n">
        <f aca="false">C641-$C$3-B641</f>
        <v>406.158944815361</v>
      </c>
      <c r="E641" s="0" t="n">
        <f aca="false">$E$1*B641*86.4</f>
        <v>540758.592</v>
      </c>
      <c r="F641" s="0" t="n">
        <f aca="false">$G$1*G641</f>
        <v>284120.174611021</v>
      </c>
      <c r="G641" s="0" t="n">
        <f aca="false">TANH($E$1*B641*86.4/$G$1)</f>
        <v>0.947067248703405</v>
      </c>
      <c r="H641" s="0" t="n">
        <f aca="false">COSH($E$1*B641*86.4/$G$1)</f>
        <v>3.11492281846589</v>
      </c>
      <c r="I641" s="0" t="n">
        <f aca="false">(($G$1^2*1000)/($E$1*$I$1))*(H641-1)</f>
        <v>2.05087959129267</v>
      </c>
      <c r="J641" s="0" t="n">
        <f aca="false">$J$3*EXP(-$E$1*B641*86.4/$G$1)</f>
        <v>164.881434857944</v>
      </c>
      <c r="K641" s="0" t="n">
        <f aca="false">J640-J641</f>
        <v>0.46649489932517</v>
      </c>
    </row>
    <row r="642" customFormat="false" ht="12.8" hidden="false" customHeight="false" outlineLevel="0" collapsed="false">
      <c r="A642" s="0" t="n">
        <v>1</v>
      </c>
      <c r="B642" s="0" t="n">
        <f aca="false">B641+A642</f>
        <v>639</v>
      </c>
      <c r="C642" s="0" t="n">
        <f aca="false">$C$3+($G$1/($E$1*86.4))*SINH($E$1*B642*86.4/$G$1)</f>
        <v>45651.2780391271</v>
      </c>
      <c r="D642" s="0" t="n">
        <f aca="false">C642-$C$3-B642</f>
        <v>408.27803912705</v>
      </c>
      <c r="E642" s="0" t="n">
        <f aca="false">$E$1*B642*86.4</f>
        <v>541606.176</v>
      </c>
      <c r="F642" s="0" t="n">
        <f aca="false">$G$1*G642</f>
        <v>284207.296345708</v>
      </c>
      <c r="G642" s="0" t="n">
        <f aca="false">TANH($E$1*B642*86.4/$G$1)</f>
        <v>0.947357654485693</v>
      </c>
      <c r="H642" s="0" t="n">
        <f aca="false">COSH($E$1*B642*86.4/$G$1)</f>
        <v>3.12326995446213</v>
      </c>
      <c r="I642" s="0" t="n">
        <f aca="false">(($G$1^2*1000)/($E$1*$I$1))*(H642-1)</f>
        <v>2.05897396273307</v>
      </c>
      <c r="J642" s="0" t="n">
        <f aca="false">$J$3*EXP(-$E$1*B642*86.4/$G$1)</f>
        <v>164.416256077251</v>
      </c>
      <c r="K642" s="0" t="n">
        <f aca="false">J641-J642</f>
        <v>0.465178780693321</v>
      </c>
    </row>
    <row r="643" customFormat="false" ht="12.8" hidden="false" customHeight="false" outlineLevel="0" collapsed="false">
      <c r="A643" s="0" t="n">
        <v>1</v>
      </c>
      <c r="B643" s="0" t="n">
        <f aca="false">B642+A643</f>
        <v>640</v>
      </c>
      <c r="C643" s="0" t="n">
        <f aca="false">$C$3+($G$1/($E$1*86.4))*SINH($E$1*B643*86.4/$G$1)</f>
        <v>45654.4054930345</v>
      </c>
      <c r="D643" s="0" t="n">
        <f aca="false">C643-$C$3-B643</f>
        <v>410.405493034486</v>
      </c>
      <c r="E643" s="0" t="n">
        <f aca="false">$E$1*B643*86.4</f>
        <v>542453.76</v>
      </c>
      <c r="F643" s="0" t="n">
        <f aca="false">$G$1*G643</f>
        <v>284293.952955095</v>
      </c>
      <c r="G643" s="0" t="n">
        <f aca="false">TANH($E$1*B643*86.4/$G$1)</f>
        <v>0.947646509850316</v>
      </c>
      <c r="H643" s="0" t="n">
        <f aca="false">COSH($E$1*B643*86.4/$G$1)</f>
        <v>3.1316420210625</v>
      </c>
      <c r="I643" s="0" t="n">
        <f aca="false">(($G$1^2*1000)/($E$1*$I$1))*(H643-1)</f>
        <v>2.06709250983925</v>
      </c>
      <c r="J643" s="0" t="n">
        <f aca="false">$J$3*EXP(-$E$1*B643*86.4/$G$1)</f>
        <v>163.952389702034</v>
      </c>
      <c r="K643" s="0" t="n">
        <f aca="false">J642-J643</f>
        <v>0.463866375217236</v>
      </c>
    </row>
    <row r="644" customFormat="false" ht="12.8" hidden="false" customHeight="false" outlineLevel="0" collapsed="false">
      <c r="A644" s="0" t="n">
        <v>1</v>
      </c>
      <c r="B644" s="0" t="n">
        <f aca="false">B643+A644</f>
        <v>641</v>
      </c>
      <c r="C644" s="0" t="n">
        <f aca="false">$C$3+($G$1/($E$1*86.4))*SINH($E$1*B644*86.4/$G$1)</f>
        <v>45657.5413315017</v>
      </c>
      <c r="D644" s="0" t="n">
        <f aca="false">C644-$C$3-B644</f>
        <v>412.541331501656</v>
      </c>
      <c r="E644" s="0" t="n">
        <f aca="false">$E$1*B644*86.4</f>
        <v>543301.344</v>
      </c>
      <c r="F644" s="0" t="n">
        <f aca="false">$G$1*G644</f>
        <v>284380.146781706</v>
      </c>
      <c r="G644" s="0" t="n">
        <f aca="false">TANH($E$1*B644*86.4/$G$1)</f>
        <v>0.947933822605687</v>
      </c>
      <c r="H644" s="0" t="n">
        <f aca="false">COSH($E$1*B644*86.4/$G$1)</f>
        <v>3.1400390850946</v>
      </c>
      <c r="I644" s="0" t="n">
        <f aca="false">(($G$1^2*1000)/($E$1*$I$1))*(H644-1)</f>
        <v>2.07523529741516</v>
      </c>
      <c r="J644" s="0" t="n">
        <f aca="false">$J$3*EXP(-$E$1*B644*86.4/$G$1)</f>
        <v>163.489832029613</v>
      </c>
      <c r="K644" s="0" t="n">
        <f aca="false">J643-J644</f>
        <v>0.46255767242107</v>
      </c>
    </row>
    <row r="645" customFormat="false" ht="12.8" hidden="false" customHeight="false" outlineLevel="0" collapsed="false">
      <c r="A645" s="0" t="n">
        <v>1</v>
      </c>
      <c r="B645" s="0" t="n">
        <f aca="false">B644+A645</f>
        <v>642</v>
      </c>
      <c r="C645" s="0" t="n">
        <f aca="false">$C$3+($G$1/($E$1*86.4))*SINH($E$1*B645*86.4/$G$1)</f>
        <v>45660.6855795595</v>
      </c>
      <c r="D645" s="0" t="n">
        <f aca="false">C645-$C$3-B645</f>
        <v>414.685579559489</v>
      </c>
      <c r="E645" s="0" t="n">
        <f aca="false">$E$1*B645*86.4</f>
        <v>544148.928</v>
      </c>
      <c r="F645" s="0" t="n">
        <f aca="false">$G$1*G645</f>
        <v>284465.88015781</v>
      </c>
      <c r="G645" s="0" t="n">
        <f aca="false">TANH($E$1*B645*86.4/$G$1)</f>
        <v>0.948219600526033</v>
      </c>
      <c r="H645" s="0" t="n">
        <f aca="false">COSH($E$1*B645*86.4/$G$1)</f>
        <v>3.14846121358559</v>
      </c>
      <c r="I645" s="0" t="n">
        <f aca="false">(($G$1^2*1000)/($E$1*$I$1))*(H645-1)</f>
        <v>2.08340239045827</v>
      </c>
      <c r="J645" s="0" t="n">
        <f aca="false">$J$3*EXP(-$E$1*B645*86.4/$G$1)</f>
        <v>163.028579367754</v>
      </c>
      <c r="K645" s="0" t="n">
        <f aca="false">J644-J645</f>
        <v>0.461252661858595</v>
      </c>
    </row>
    <row r="646" customFormat="false" ht="12.8" hidden="false" customHeight="false" outlineLevel="0" collapsed="false">
      <c r="A646" s="0" t="n">
        <v>1</v>
      </c>
      <c r="B646" s="0" t="n">
        <f aca="false">B645+A646</f>
        <v>643</v>
      </c>
      <c r="C646" s="0" t="n">
        <f aca="false">$C$3+($G$1/($E$1*86.4))*SINH($E$1*B646*86.4/$G$1)</f>
        <v>45663.8382623061</v>
      </c>
      <c r="D646" s="0" t="n">
        <f aca="false">C646-$C$3-B646</f>
        <v>416.838262306053</v>
      </c>
      <c r="E646" s="0" t="n">
        <f aca="false">$E$1*B646*86.4</f>
        <v>544996.512</v>
      </c>
      <c r="F646" s="0" t="n">
        <f aca="false">$G$1*G646</f>
        <v>284551.155405445</v>
      </c>
      <c r="G646" s="0" t="n">
        <f aca="false">TANH($E$1*B646*86.4/$G$1)</f>
        <v>0.948503851351484</v>
      </c>
      <c r="H646" s="0" t="n">
        <f aca="false">COSH($E$1*B646*86.4/$G$1)</f>
        <v>3.15690847376268</v>
      </c>
      <c r="I646" s="0" t="n">
        <f aca="false">(($G$1^2*1000)/($E$1*$I$1))*(H646-1)</f>
        <v>2.09159385416005</v>
      </c>
      <c r="J646" s="0" t="n">
        <f aca="false">$J$3*EXP(-$E$1*B646*86.4/$G$1)</f>
        <v>162.568628034641</v>
      </c>
      <c r="K646" s="0" t="n">
        <f aca="false">J645-J646</f>
        <v>0.459951333112656</v>
      </c>
    </row>
    <row r="647" customFormat="false" ht="12.8" hidden="false" customHeight="false" outlineLevel="0" collapsed="false">
      <c r="A647" s="0" t="n">
        <v>1</v>
      </c>
      <c r="B647" s="0" t="n">
        <f aca="false">B646+A647</f>
        <v>644</v>
      </c>
      <c r="C647" s="0" t="n">
        <f aca="false">$C$3+($G$1/($E$1*86.4))*SINH($E$1*B647*86.4/$G$1)</f>
        <v>45666.9994049067</v>
      </c>
      <c r="D647" s="0" t="n">
        <f aca="false">C647-$C$3-B647</f>
        <v>418.999404906717</v>
      </c>
      <c r="E647" s="0" t="n">
        <f aca="false">$E$1*B647*86.4</f>
        <v>545844.096</v>
      </c>
      <c r="F647" s="0" t="n">
        <f aca="false">$G$1*G647</f>
        <v>284635.974836452</v>
      </c>
      <c r="G647" s="0" t="n">
        <f aca="false">TANH($E$1*B647*86.4/$G$1)</f>
        <v>0.948786582788172</v>
      </c>
      <c r="H647" s="0" t="n">
        <f aca="false">COSH($E$1*B647*86.4/$G$1)</f>
        <v>3.1653809330537</v>
      </c>
      <c r="I647" s="0" t="n">
        <f aca="false">(($G$1^2*1000)/($E$1*$I$1))*(H647-1)</f>
        <v>2.09980975390651</v>
      </c>
      <c r="J647" s="0" t="n">
        <f aca="false">$J$3*EXP(-$E$1*B647*86.4/$G$1)</f>
        <v>162.109974358845</v>
      </c>
      <c r="K647" s="0" t="n">
        <f aca="false">J646-J647</f>
        <v>0.458653675796143</v>
      </c>
    </row>
    <row r="648" customFormat="false" ht="12.8" hidden="false" customHeight="false" outlineLevel="0" collapsed="false">
      <c r="A648" s="0" t="n">
        <v>1</v>
      </c>
      <c r="B648" s="0" t="n">
        <f aca="false">B647+A648</f>
        <v>645</v>
      </c>
      <c r="C648" s="0" t="n">
        <f aca="false">$C$3+($G$1/($E$1*86.4))*SINH($E$1*B648*86.4/$G$1)</f>
        <v>45670.1690325944</v>
      </c>
      <c r="D648" s="0" t="n">
        <f aca="false">C648-$C$3-B648</f>
        <v>421.169032594407</v>
      </c>
      <c r="E648" s="0" t="n">
        <f aca="false">$E$1*B648*86.4</f>
        <v>546691.68</v>
      </c>
      <c r="F648" s="0" t="n">
        <f aca="false">$G$1*G648</f>
        <v>284720.340752495</v>
      </c>
      <c r="G648" s="0" t="n">
        <f aca="false">TANH($E$1*B648*86.4/$G$1)</f>
        <v>0.949067802508315</v>
      </c>
      <c r="H648" s="0" t="n">
        <f aca="false">COSH($E$1*B648*86.4/$G$1)</f>
        <v>3.17387865908761</v>
      </c>
      <c r="I648" s="0" t="n">
        <f aca="false">(($G$1^2*1000)/($E$1*$I$1))*(H648-1)</f>
        <v>2.10805015527869</v>
      </c>
      <c r="J648" s="0" t="n">
        <f aca="false">$J$3*EXP(-$E$1*B648*86.4/$G$1)</f>
        <v>161.652614679295</v>
      </c>
      <c r="K648" s="0" t="n">
        <f aca="false">J647-J648</f>
        <v>0.457359679550592</v>
      </c>
    </row>
    <row r="649" customFormat="false" ht="12.8" hidden="false" customHeight="false" outlineLevel="0" collapsed="false">
      <c r="A649" s="0" t="n">
        <v>1</v>
      </c>
      <c r="B649" s="0" t="n">
        <f aca="false">B648+A649</f>
        <v>646</v>
      </c>
      <c r="C649" s="0" t="n">
        <f aca="false">$C$3+($G$1/($E$1*86.4))*SINH($E$1*B649*86.4/$G$1)</f>
        <v>45673.3471706697</v>
      </c>
      <c r="D649" s="0" t="n">
        <f aca="false">C649-$C$3-B649</f>
        <v>423.347170669746</v>
      </c>
      <c r="E649" s="0" t="n">
        <f aca="false">$E$1*B649*86.4</f>
        <v>547539.264</v>
      </c>
      <c r="F649" s="0" t="n">
        <f aca="false">$G$1*G649</f>
        <v>284804.255445096</v>
      </c>
      <c r="G649" s="0" t="n">
        <f aca="false">TANH($E$1*B649*86.4/$G$1)</f>
        <v>0.949347518150319</v>
      </c>
      <c r="H649" s="0" t="n">
        <f aca="false">COSH($E$1*B649*86.4/$G$1)</f>
        <v>3.18240171969508</v>
      </c>
      <c r="I649" s="0" t="n">
        <f aca="false">(($G$1^2*1000)/($E$1*$I$1))*(H649-1)</f>
        <v>2.11631512405324</v>
      </c>
      <c r="J649" s="0" t="n">
        <f aca="false">$J$3*EXP(-$E$1*B649*86.4/$G$1)</f>
        <v>161.196545345248</v>
      </c>
      <c r="K649" s="0" t="n">
        <f aca="false">J648-J649</f>
        <v>0.456069334047157</v>
      </c>
    </row>
    <row r="650" customFormat="false" ht="12.8" hidden="false" customHeight="false" outlineLevel="0" collapsed="false">
      <c r="A650" s="0" t="n">
        <v>1</v>
      </c>
      <c r="B650" s="0" t="n">
        <f aca="false">B649+A650</f>
        <v>647</v>
      </c>
      <c r="C650" s="0" t="n">
        <f aca="false">$C$3+($G$1/($E$1*86.4))*SINH($E$1*B650*86.4/$G$1)</f>
        <v>45676.5338445013</v>
      </c>
      <c r="D650" s="0" t="n">
        <f aca="false">C650-$C$3-B650</f>
        <v>425.533844501326</v>
      </c>
      <c r="E650" s="0" t="n">
        <f aca="false">$E$1*B650*86.4</f>
        <v>548386.848</v>
      </c>
      <c r="F650" s="0" t="n">
        <f aca="false">$G$1*G650</f>
        <v>284887.721195661</v>
      </c>
      <c r="G650" s="0" t="n">
        <f aca="false">TANH($E$1*B650*86.4/$G$1)</f>
        <v>0.949625737318868</v>
      </c>
      <c r="H650" s="0" t="n">
        <f aca="false">COSH($E$1*B650*86.4/$G$1)</f>
        <v>3.19095018290897</v>
      </c>
      <c r="I650" s="0" t="n">
        <f aca="false">(($G$1^2*1000)/($E$1*$I$1))*(H650-1)</f>
        <v>2.12460472620289</v>
      </c>
      <c r="J650" s="0" t="n">
        <f aca="false">$J$3*EXP(-$E$1*B650*86.4/$G$1)</f>
        <v>160.741762716262</v>
      </c>
      <c r="K650" s="0" t="n">
        <f aca="false">J649-J650</f>
        <v>0.454782628985953</v>
      </c>
    </row>
    <row r="651" customFormat="false" ht="12.8" hidden="false" customHeight="false" outlineLevel="0" collapsed="false">
      <c r="A651" s="0" t="n">
        <v>1</v>
      </c>
      <c r="B651" s="0" t="n">
        <f aca="false">B650+A651</f>
        <v>648</v>
      </c>
      <c r="C651" s="0" t="n">
        <f aca="false">$C$3+($G$1/($E$1*86.4))*SINH($E$1*B651*86.4/$G$1)</f>
        <v>45679.7290795258</v>
      </c>
      <c r="D651" s="0" t="n">
        <f aca="false">C651-$C$3-B651</f>
        <v>427.729079525845</v>
      </c>
      <c r="E651" s="0" t="n">
        <f aca="false">$E$1*B651*86.4</f>
        <v>549234.432</v>
      </c>
      <c r="F651" s="0" t="n">
        <f aca="false">$G$1*G651</f>
        <v>284970.740275506</v>
      </c>
      <c r="G651" s="0" t="n">
        <f aca="false">TANH($E$1*B651*86.4/$G$1)</f>
        <v>0.949902467585019</v>
      </c>
      <c r="H651" s="0" t="n">
        <f aca="false">COSH($E$1*B651*86.4/$G$1)</f>
        <v>3.19952411696495</v>
      </c>
      <c r="I651" s="0" t="n">
        <f aca="false">(($G$1^2*1000)/($E$1*$I$1))*(H651-1)</f>
        <v>2.132919027897</v>
      </c>
      <c r="J651" s="0" t="n">
        <f aca="false">$J$3*EXP(-$E$1*B651*86.4/$G$1)</f>
        <v>160.288263162165</v>
      </c>
      <c r="K651" s="0" t="n">
        <f aca="false">J650-J651</f>
        <v>0.453499554096311</v>
      </c>
    </row>
    <row r="652" customFormat="false" ht="12.8" hidden="false" customHeight="false" outlineLevel="0" collapsed="false">
      <c r="A652" s="0" t="n">
        <v>1</v>
      </c>
      <c r="B652" s="0" t="n">
        <f aca="false">B651+A652</f>
        <v>649</v>
      </c>
      <c r="C652" s="0" t="n">
        <f aca="false">$C$3+($G$1/($E$1*86.4))*SINH($E$1*B652*86.4/$G$1)</f>
        <v>45682.9329012484</v>
      </c>
      <c r="D652" s="0" t="n">
        <f aca="false">C652-$C$3-B652</f>
        <v>429.93290124835</v>
      </c>
      <c r="E652" s="0" t="n">
        <f aca="false">$E$1*B652*86.4</f>
        <v>550082.016</v>
      </c>
      <c r="F652" s="0" t="n">
        <f aca="false">$G$1*G652</f>
        <v>285053.314945889</v>
      </c>
      <c r="G652" s="0" t="n">
        <f aca="false">TANH($E$1*B652*86.4/$G$1)</f>
        <v>0.950177716486295</v>
      </c>
      <c r="H652" s="0" t="n">
        <f aca="false">COSH($E$1*B652*86.4/$G$1)</f>
        <v>3.20812359030196</v>
      </c>
      <c r="I652" s="0" t="n">
        <f aca="false">(($G$1^2*1000)/($E$1*$I$1))*(H652-1)</f>
        <v>2.1412580955021</v>
      </c>
      <c r="J652" s="0" t="n">
        <f aca="false">$J$3*EXP(-$E$1*B652*86.4/$G$1)</f>
        <v>159.836043063029</v>
      </c>
      <c r="K652" s="0" t="n">
        <f aca="false">J651-J652</f>
        <v>0.45222009913644</v>
      </c>
    </row>
    <row r="653" customFormat="false" ht="12.8" hidden="false" customHeight="false" outlineLevel="0" collapsed="false">
      <c r="A653" s="0" t="n">
        <v>1</v>
      </c>
      <c r="B653" s="0" t="n">
        <f aca="false">B652+A653</f>
        <v>650</v>
      </c>
      <c r="C653" s="0" t="n">
        <f aca="false">$C$3+($G$1/($E$1*86.4))*SINH($E$1*B653*86.4/$G$1)</f>
        <v>45686.1453352424</v>
      </c>
      <c r="D653" s="0" t="n">
        <f aca="false">C653-$C$3-B653</f>
        <v>432.145335242421</v>
      </c>
      <c r="E653" s="0" t="n">
        <f aca="false">$E$1*B653*86.4</f>
        <v>550929.6</v>
      </c>
      <c r="F653" s="0" t="n">
        <f aca="false">$G$1*G653</f>
        <v>285135.447458035</v>
      </c>
      <c r="G653" s="0" t="n">
        <f aca="false">TANH($E$1*B653*86.4/$G$1)</f>
        <v>0.950451491526785</v>
      </c>
      <c r="H653" s="0" t="n">
        <f aca="false">COSH($E$1*B653*86.4/$G$1)</f>
        <v>3.21674867156284</v>
      </c>
      <c r="I653" s="0" t="n">
        <f aca="false">(($G$1^2*1000)/($E$1*$I$1))*(H653-1)</f>
        <v>2.14962199558239</v>
      </c>
      <c r="J653" s="0" t="n">
        <f aca="false">$J$3*EXP(-$E$1*B653*86.4/$G$1)</f>
        <v>159.385098809135</v>
      </c>
      <c r="K653" s="0" t="n">
        <f aca="false">J652-J653</f>
        <v>0.45094425389351</v>
      </c>
    </row>
    <row r="654" customFormat="false" ht="12.8" hidden="false" customHeight="false" outlineLevel="0" collapsed="false">
      <c r="A654" s="0" t="n">
        <v>1</v>
      </c>
      <c r="B654" s="0" t="n">
        <f aca="false">B653+A654</f>
        <v>651</v>
      </c>
      <c r="C654" s="0" t="n">
        <f aca="false">$C$3+($G$1/($E$1*86.4))*SINH($E$1*B654*86.4/$G$1)</f>
        <v>45689.3664071504</v>
      </c>
      <c r="D654" s="0" t="n">
        <f aca="false">C654-$C$3-B654</f>
        <v>434.366407150395</v>
      </c>
      <c r="E654" s="0" t="n">
        <f aca="false">$E$1*B654*86.4</f>
        <v>551777.184</v>
      </c>
      <c r="F654" s="0" t="n">
        <f aca="false">$G$1*G654</f>
        <v>285217.14005317</v>
      </c>
      <c r="G654" s="0" t="n">
        <f aca="false">TANH($E$1*B654*86.4/$G$1)</f>
        <v>0.950723800177233</v>
      </c>
      <c r="H654" s="0" t="n">
        <f aca="false">COSH($E$1*B654*86.4/$G$1)</f>
        <v>3.22539942959482</v>
      </c>
      <c r="I654" s="0" t="n">
        <f aca="false">(($G$1^2*1000)/($E$1*$I$1))*(H654-1)</f>
        <v>2.15801079490031</v>
      </c>
      <c r="J654" s="0" t="n">
        <f aca="false">$J$3*EXP(-$E$1*B654*86.4/$G$1)</f>
        <v>158.935426800952</v>
      </c>
      <c r="K654" s="0" t="n">
        <f aca="false">J653-J654</f>
        <v>0.449672008183285</v>
      </c>
    </row>
    <row r="655" customFormat="false" ht="12.8" hidden="false" customHeight="false" outlineLevel="0" collapsed="false">
      <c r="A655" s="0" t="n">
        <v>1</v>
      </c>
      <c r="B655" s="0" t="n">
        <f aca="false">B654+A655</f>
        <v>652</v>
      </c>
      <c r="C655" s="0" t="n">
        <f aca="false">$C$3+($G$1/($E$1*86.4))*SINH($E$1*B655*86.4/$G$1)</f>
        <v>45692.5961426836</v>
      </c>
      <c r="D655" s="0" t="n">
        <f aca="false">C655-$C$3-B655</f>
        <v>436.596142683549</v>
      </c>
      <c r="E655" s="0" t="n">
        <f aca="false">$E$1*B655*86.4</f>
        <v>552624.768</v>
      </c>
      <c r="F655" s="0" t="n">
        <f aca="false">$G$1*G655</f>
        <v>285298.394962542</v>
      </c>
      <c r="G655" s="0" t="n">
        <f aca="false">TANH($E$1*B655*86.4/$G$1)</f>
        <v>0.950994649875141</v>
      </c>
      <c r="H655" s="0" t="n">
        <f aca="false">COSH($E$1*B655*86.4/$G$1)</f>
        <v>3.23407593345008</v>
      </c>
      <c r="I655" s="0" t="n">
        <f aca="false">(($G$1^2*1000)/($E$1*$I$1))*(H655-1)</f>
        <v>2.16642456041703</v>
      </c>
      <c r="J655" s="0" t="n">
        <f aca="false">$J$3*EXP(-$E$1*B655*86.4/$G$1)</f>
        <v>158.487023449102</v>
      </c>
      <c r="K655" s="0" t="n">
        <f aca="false">J654-J655</f>
        <v>0.448403351850544</v>
      </c>
    </row>
    <row r="656" customFormat="false" ht="12.8" hidden="false" customHeight="false" outlineLevel="0" collapsed="false">
      <c r="A656" s="0" t="n">
        <v>1</v>
      </c>
      <c r="B656" s="0" t="n">
        <f aca="false">B655+A656</f>
        <v>653</v>
      </c>
      <c r="C656" s="0" t="n">
        <f aca="false">$C$3+($G$1/($E$1*86.4))*SINH($E$1*B656*86.4/$G$1)</f>
        <v>45695.8345676223</v>
      </c>
      <c r="D656" s="0" t="n">
        <f aca="false">C656-$C$3-B656</f>
        <v>438.834567622318</v>
      </c>
      <c r="E656" s="0" t="n">
        <f aca="false">$E$1*B656*86.4</f>
        <v>553472.352</v>
      </c>
      <c r="F656" s="0" t="n">
        <f aca="false">$G$1*G656</f>
        <v>285379.214407458</v>
      </c>
      <c r="G656" s="0" t="n">
        <f aca="false">TANH($E$1*B656*86.4/$G$1)</f>
        <v>0.951264048024859</v>
      </c>
      <c r="H656" s="0" t="n">
        <f aca="false">COSH($E$1*B656*86.4/$G$1)</f>
        <v>3.24277825238632</v>
      </c>
      <c r="I656" s="0" t="n">
        <f aca="false">(($G$1^2*1000)/($E$1*$I$1))*(H656-1)</f>
        <v>2.17486335929301</v>
      </c>
      <c r="J656" s="0" t="n">
        <f aca="false">$J$3*EXP(-$E$1*B656*86.4/$G$1)</f>
        <v>158.039885174333</v>
      </c>
      <c r="K656" s="0" t="n">
        <f aca="false">J655-J656</f>
        <v>0.447138274768662</v>
      </c>
    </row>
    <row r="657" customFormat="false" ht="12.8" hidden="false" customHeight="false" outlineLevel="0" collapsed="false">
      <c r="A657" s="0" t="n">
        <v>1</v>
      </c>
      <c r="B657" s="0" t="n">
        <f aca="false">B656+A657</f>
        <v>654</v>
      </c>
      <c r="C657" s="0" t="n">
        <f aca="false">$C$3+($G$1/($E$1*86.4))*SINH($E$1*B657*86.4/$G$1)</f>
        <v>45699.0817078165</v>
      </c>
      <c r="D657" s="0" t="n">
        <f aca="false">C657-$C$3-B657</f>
        <v>441.081707816498</v>
      </c>
      <c r="E657" s="0" t="n">
        <f aca="false">$E$1*B657*86.4</f>
        <v>554319.936</v>
      </c>
      <c r="F657" s="0" t="n">
        <f aca="false">$G$1*G657</f>
        <v>285459.600599305</v>
      </c>
      <c r="G657" s="0" t="n">
        <f aca="false">TANH($E$1*B657*86.4/$G$1)</f>
        <v>0.951532001997684</v>
      </c>
      <c r="H657" s="0" t="n">
        <f aca="false">COSH($E$1*B657*86.4/$G$1)</f>
        <v>3.2515064558673</v>
      </c>
      <c r="I657" s="0" t="n">
        <f aca="false">(($G$1^2*1000)/($E$1*$I$1))*(H657-1)</f>
        <v>2.18332725888854</v>
      </c>
      <c r="J657" s="0" t="n">
        <f aca="false">$J$3*EXP(-$E$1*B657*86.4/$G$1)</f>
        <v>157.594008407493</v>
      </c>
      <c r="K657" s="0" t="n">
        <f aca="false">J656-J657</f>
        <v>0.445876766839433</v>
      </c>
    </row>
    <row r="658" customFormat="false" ht="12.8" hidden="false" customHeight="false" outlineLevel="0" collapsed="false">
      <c r="A658" s="0" t="n">
        <v>1</v>
      </c>
      <c r="B658" s="0" t="n">
        <f aca="false">B657+A658</f>
        <v>655</v>
      </c>
      <c r="C658" s="0" t="n">
        <f aca="false">$C$3+($G$1/($E$1*86.4))*SINH($E$1*B658*86.4/$G$1)</f>
        <v>45702.3375891855</v>
      </c>
      <c r="D658" s="0" t="n">
        <f aca="false">C658-$C$3-B658</f>
        <v>443.337589185459</v>
      </c>
      <c r="E658" s="0" t="n">
        <f aca="false">$E$1*B658*86.4</f>
        <v>555167.52</v>
      </c>
      <c r="F658" s="0" t="n">
        <f aca="false">$G$1*G658</f>
        <v>285539.555739588</v>
      </c>
      <c r="G658" s="0" t="n">
        <f aca="false">TANH($E$1*B658*86.4/$G$1)</f>
        <v>0.95179851913196</v>
      </c>
      <c r="H658" s="0" t="n">
        <f aca="false">COSH($E$1*B658*86.4/$G$1)</f>
        <v>3.26026061356339</v>
      </c>
      <c r="I658" s="0" t="n">
        <f aca="false">(($G$1^2*1000)/($E$1*$I$1))*(H658-1)</f>
        <v>2.19181632676426</v>
      </c>
      <c r="J658" s="0" t="n">
        <f aca="false">$J$3*EXP(-$E$1*B658*86.4/$G$1)</f>
        <v>157.1493895895</v>
      </c>
      <c r="K658" s="0" t="n">
        <f aca="false">J657-J658</f>
        <v>0.444618817993188</v>
      </c>
    </row>
    <row r="659" customFormat="false" ht="12.8" hidden="false" customHeight="false" outlineLevel="0" collapsed="false">
      <c r="A659" s="0" t="n">
        <v>1</v>
      </c>
      <c r="B659" s="0" t="n">
        <f aca="false">B658+A659</f>
        <v>656</v>
      </c>
      <c r="C659" s="0" t="n">
        <f aca="false">$C$3+($G$1/($E$1*86.4))*SINH($E$1*B659*86.4/$G$1)</f>
        <v>45705.6022377183</v>
      </c>
      <c r="D659" s="0" t="n">
        <f aca="false">C659-$C$3-B659</f>
        <v>445.602237718325</v>
      </c>
      <c r="E659" s="0" t="n">
        <f aca="false">$E$1*B659*86.4</f>
        <v>556015.104</v>
      </c>
      <c r="F659" s="0" t="n">
        <f aca="false">$G$1*G659</f>
        <v>285619.082019951</v>
      </c>
      <c r="G659" s="0" t="n">
        <f aca="false">TANH($E$1*B659*86.4/$G$1)</f>
        <v>0.95206360673317</v>
      </c>
      <c r="H659" s="0" t="n">
        <f aca="false">COSH($E$1*B659*86.4/$G$1)</f>
        <v>3.26904079535214</v>
      </c>
      <c r="I659" s="0" t="n">
        <f aca="false">(($G$1^2*1000)/($E$1*$I$1))*(H659-1)</f>
        <v>2.20033063068171</v>
      </c>
      <c r="J659" s="0" t="n">
        <f aca="false">$J$3*EXP(-$E$1*B659*86.4/$G$1)</f>
        <v>156.706025171311</v>
      </c>
      <c r="K659" s="0" t="n">
        <f aca="false">J658-J659</f>
        <v>0.443364418188878</v>
      </c>
    </row>
    <row r="660" customFormat="false" ht="12.8" hidden="false" customHeight="false" outlineLevel="0" collapsed="false">
      <c r="A660" s="0" t="n">
        <v>1</v>
      </c>
      <c r="B660" s="0" t="n">
        <f aca="false">B659+A660</f>
        <v>657</v>
      </c>
      <c r="C660" s="0" t="n">
        <f aca="false">$C$3+($G$1/($E$1*86.4))*SINH($E$1*B660*86.4/$G$1)</f>
        <v>45708.8756794742</v>
      </c>
      <c r="D660" s="0" t="n">
        <f aca="false">C660-$C$3-B660</f>
        <v>447.875679474222</v>
      </c>
      <c r="E660" s="0" t="n">
        <f aca="false">$E$1*B660*86.4</f>
        <v>556862.688</v>
      </c>
      <c r="F660" s="0" t="n">
        <f aca="false">$G$1*G660</f>
        <v>285698.181622211</v>
      </c>
      <c r="G660" s="0" t="n">
        <f aca="false">TANH($E$1*B660*86.4/$G$1)</f>
        <v>0.952327272074037</v>
      </c>
      <c r="H660" s="0" t="n">
        <f aca="false">COSH($E$1*B660*86.4/$G$1)</f>
        <v>3.27784707131882</v>
      </c>
      <c r="I660" s="0" t="n">
        <f aca="false">(($G$1^2*1000)/($E$1*$I$1))*(H660-1)</f>
        <v>2.20887023860389</v>
      </c>
      <c r="J660" s="0" t="n">
        <f aca="false">$J$3*EXP(-$E$1*B660*86.4/$G$1)</f>
        <v>156.263911613898</v>
      </c>
      <c r="K660" s="0" t="n">
        <f aca="false">J659-J660</f>
        <v>0.442113557413478</v>
      </c>
    </row>
    <row r="661" customFormat="false" ht="12.8" hidden="false" customHeight="false" outlineLevel="0" collapsed="false">
      <c r="A661" s="0" t="n">
        <v>1</v>
      </c>
      <c r="B661" s="0" t="n">
        <f aca="false">B660+A661</f>
        <v>658</v>
      </c>
      <c r="C661" s="0" t="n">
        <f aca="false">$C$3+($G$1/($E$1*86.4))*SINH($E$1*B661*86.4/$G$1)</f>
        <v>45712.1579405825</v>
      </c>
      <c r="D661" s="0" t="n">
        <f aca="false">C661-$C$3-B661</f>
        <v>450.157940582452</v>
      </c>
      <c r="E661" s="0" t="n">
        <f aca="false">$E$1*B661*86.4</f>
        <v>557710.272</v>
      </c>
      <c r="F661" s="0" t="n">
        <f aca="false">$G$1*G661</f>
        <v>285776.856718386</v>
      </c>
      <c r="G661" s="0" t="n">
        <f aca="false">TANH($E$1*B661*86.4/$G$1)</f>
        <v>0.95258952239462</v>
      </c>
      <c r="H661" s="0" t="n">
        <f aca="false">COSH($E$1*B661*86.4/$G$1)</f>
        <v>3.286679511757</v>
      </c>
      <c r="I661" s="0" t="n">
        <f aca="false">(($G$1^2*1000)/($E$1*$I$1))*(H661-1)</f>
        <v>2.21743521869574</v>
      </c>
      <c r="J661" s="0" t="n">
        <f aca="false">$J$3*EXP(-$E$1*B661*86.4/$G$1)</f>
        <v>155.823045388216</v>
      </c>
      <c r="K661" s="0" t="n">
        <f aca="false">J660-J661</f>
        <v>0.440866225682385</v>
      </c>
    </row>
    <row r="662" customFormat="false" ht="12.8" hidden="false" customHeight="false" outlineLevel="0" collapsed="false">
      <c r="A662" s="0" t="n">
        <v>1</v>
      </c>
      <c r="B662" s="0" t="n">
        <f aca="false">B661+A662</f>
        <v>659</v>
      </c>
      <c r="C662" s="0" t="n">
        <f aca="false">$C$3+($G$1/($E$1*86.4))*SINH($E$1*B662*86.4/$G$1)</f>
        <v>45715.4490472427</v>
      </c>
      <c r="D662" s="0" t="n">
        <f aca="false">C662-$C$3-B662</f>
        <v>452.449047242721</v>
      </c>
      <c r="E662" s="0" t="n">
        <f aca="false">$E$1*B662*86.4</f>
        <v>558557.856</v>
      </c>
      <c r="F662" s="0" t="n">
        <f aca="false">$G$1*G662</f>
        <v>285855.109470725</v>
      </c>
      <c r="G662" s="0" t="n">
        <f aca="false">TANH($E$1*B662*86.4/$G$1)</f>
        <v>0.952850364902416</v>
      </c>
      <c r="H662" s="0" t="n">
        <f aca="false">COSH($E$1*B662*86.4/$G$1)</f>
        <v>3.29553818716909</v>
      </c>
      <c r="I662" s="0" t="n">
        <f aca="false">(($G$1^2*1000)/($E$1*$I$1))*(H662-1)</f>
        <v>2.22602563932477</v>
      </c>
      <c r="J662" s="0" t="n">
        <f aca="false">$J$3*EXP(-$E$1*B662*86.4/$G$1)</f>
        <v>155.383422975176</v>
      </c>
      <c r="K662" s="0" t="n">
        <f aca="false">J661-J662</f>
        <v>0.439622413039103</v>
      </c>
    </row>
    <row r="663" customFormat="false" ht="12.8" hidden="false" customHeight="false" outlineLevel="0" collapsed="false">
      <c r="A663" s="0" t="n">
        <v>1</v>
      </c>
      <c r="B663" s="0" t="n">
        <f aca="false">B662+A663</f>
        <v>660</v>
      </c>
      <c r="C663" s="0" t="n">
        <f aca="false">$C$3+($G$1/($E$1*86.4))*SINH($E$1*B663*86.4/$G$1)</f>
        <v>45718.7490257253</v>
      </c>
      <c r="D663" s="0" t="n">
        <f aca="false">C663-$C$3-B663</f>
        <v>454.749025725345</v>
      </c>
      <c r="E663" s="0" t="n">
        <f aca="false">$E$1*B663*86.4</f>
        <v>559405.44</v>
      </c>
      <c r="F663" s="0" t="n">
        <f aca="false">$G$1*G663</f>
        <v>285932.942031736</v>
      </c>
      <c r="G663" s="0" t="n">
        <f aca="false">TANH($E$1*B663*86.4/$G$1)</f>
        <v>0.953109806772453</v>
      </c>
      <c r="H663" s="0" t="n">
        <f aca="false">COSH($E$1*B663*86.4/$G$1)</f>
        <v>3.30442316826693</v>
      </c>
      <c r="I663" s="0" t="n">
        <f aca="false">(($G$1^2*1000)/($E$1*$I$1))*(H663-1)</f>
        <v>2.23464156906153</v>
      </c>
      <c r="J663" s="0" t="n">
        <f aca="false">$J$3*EXP(-$E$1*B663*86.4/$G$1)</f>
        <v>154.945040865621</v>
      </c>
      <c r="K663" s="0" t="n">
        <f aca="false">J662-J663</f>
        <v>0.43838210955542</v>
      </c>
    </row>
    <row r="664" customFormat="false" ht="12.8" hidden="false" customHeight="false" outlineLevel="0" collapsed="false">
      <c r="A664" s="0" t="n">
        <v>1</v>
      </c>
      <c r="B664" s="0" t="n">
        <f aca="false">B663+A664</f>
        <v>661</v>
      </c>
      <c r="C664" s="0" t="n">
        <f aca="false">$C$3+($G$1/($E$1*86.4))*SINH($E$1*B664*86.4/$G$1)</f>
        <v>45722.0579023715</v>
      </c>
      <c r="D664" s="0" t="n">
        <f aca="false">C664-$C$3-B664</f>
        <v>457.057902371453</v>
      </c>
      <c r="E664" s="0" t="n">
        <f aca="false">$E$1*B664*86.4</f>
        <v>560253.024</v>
      </c>
      <c r="F664" s="0" t="n">
        <f aca="false">$G$1*G664</f>
        <v>286010.356544217</v>
      </c>
      <c r="G664" s="0" t="n">
        <f aca="false">TANH($E$1*B664*86.4/$G$1)</f>
        <v>0.953367855147391</v>
      </c>
      <c r="H664" s="0" t="n">
        <f aca="false">COSH($E$1*B664*86.4/$G$1)</f>
        <v>3.31333452597232</v>
      </c>
      <c r="I664" s="0" t="n">
        <f aca="false">(($G$1^2*1000)/($E$1*$I$1))*(H664-1)</f>
        <v>2.24328307668021</v>
      </c>
      <c r="J664" s="0" t="n">
        <f aca="false">$J$3*EXP(-$E$1*B664*86.4/$G$1)</f>
        <v>154.50789556029</v>
      </c>
      <c r="K664" s="0" t="n">
        <f aca="false">J663-J664</f>
        <v>0.437145305330745</v>
      </c>
    </row>
    <row r="665" customFormat="false" ht="12.8" hidden="false" customHeight="false" outlineLevel="0" collapsed="false">
      <c r="A665" s="0" t="n">
        <v>1</v>
      </c>
      <c r="B665" s="0" t="n">
        <f aca="false">B664+A665</f>
        <v>662</v>
      </c>
      <c r="C665" s="0" t="n">
        <f aca="false">$C$3+($G$1/($E$1*86.4))*SINH($E$1*B665*86.4/$G$1)</f>
        <v>45725.3757035932</v>
      </c>
      <c r="D665" s="0" t="n">
        <f aca="false">C665-$C$3-B665</f>
        <v>459.375703593207</v>
      </c>
      <c r="E665" s="0" t="n">
        <f aca="false">$E$1*B665*86.4</f>
        <v>561100.608</v>
      </c>
      <c r="F665" s="0" t="n">
        <f aca="false">$G$1*G665</f>
        <v>286087.355141288</v>
      </c>
      <c r="G665" s="0" t="n">
        <f aca="false">TANH($E$1*B665*86.4/$G$1)</f>
        <v>0.953624517137626</v>
      </c>
      <c r="H665" s="0" t="n">
        <f aca="false">COSH($E$1*B665*86.4/$G$1)</f>
        <v>3.3222723314176</v>
      </c>
      <c r="I665" s="0" t="n">
        <f aca="false">(($G$1^2*1000)/($E$1*$I$1))*(H665-1)</f>
        <v>2.25195023115915</v>
      </c>
      <c r="J665" s="0" t="n">
        <f aca="false">$J$3*EXP(-$E$1*B665*86.4/$G$1)</f>
        <v>154.071983569798</v>
      </c>
      <c r="K665" s="0" t="n">
        <f aca="false">J664-J665</f>
        <v>0.435911990492656</v>
      </c>
    </row>
    <row r="666" customFormat="false" ht="12.8" hidden="false" customHeight="false" outlineLevel="0" collapsed="false">
      <c r="A666" s="0" t="n">
        <v>1</v>
      </c>
      <c r="B666" s="0" t="n">
        <f aca="false">B665+A666</f>
        <v>663</v>
      </c>
      <c r="C666" s="0" t="n">
        <f aca="false">$C$3+($G$1/($E$1*86.4))*SINH($E$1*B666*86.4/$G$1)</f>
        <v>45728.702455874</v>
      </c>
      <c r="D666" s="0" t="n">
        <f aca="false">C666-$C$3-B666</f>
        <v>461.70245587398</v>
      </c>
      <c r="E666" s="0" t="n">
        <f aca="false">$E$1*B666*86.4</f>
        <v>561948.192</v>
      </c>
      <c r="F666" s="0" t="n">
        <f aca="false">$G$1*G666</f>
        <v>286163.939946414</v>
      </c>
      <c r="G666" s="0" t="n">
        <f aca="false">TANH($E$1*B666*86.4/$G$1)</f>
        <v>0.953879799821379</v>
      </c>
      <c r="H666" s="0" t="n">
        <f aca="false">COSH($E$1*B666*86.4/$G$1)</f>
        <v>3.33123665594625</v>
      </c>
      <c r="I666" s="0" t="n">
        <f aca="false">(($G$1^2*1000)/($E$1*$I$1))*(H666-1)</f>
        <v>2.26064310168142</v>
      </c>
      <c r="J666" s="0" t="n">
        <f aca="false">$J$3*EXP(-$E$1*B666*86.4/$G$1)</f>
        <v>153.637301414601</v>
      </c>
      <c r="K666" s="0" t="n">
        <f aca="false">J665-J666</f>
        <v>0.434682155196782</v>
      </c>
    </row>
    <row r="667" customFormat="false" ht="12.8" hidden="false" customHeight="false" outlineLevel="0" collapsed="false">
      <c r="A667" s="0" t="n">
        <v>1</v>
      </c>
      <c r="B667" s="0" t="n">
        <f aca="false">B666+A667</f>
        <v>664</v>
      </c>
      <c r="C667" s="0" t="n">
        <f aca="false">$C$3+($G$1/($E$1*86.4))*SINH($E$1*B667*86.4/$G$1)</f>
        <v>45732.0381857686</v>
      </c>
      <c r="D667" s="0" t="n">
        <f aca="false">C667-$C$3-B667</f>
        <v>464.038185768637</v>
      </c>
      <c r="E667" s="0" t="n">
        <f aca="false">$E$1*B667*86.4</f>
        <v>562795.776</v>
      </c>
      <c r="F667" s="0" t="n">
        <f aca="false">$G$1*G667</f>
        <v>286240.113073442</v>
      </c>
      <c r="G667" s="0" t="n">
        <f aca="false">TANH($E$1*B667*86.4/$G$1)</f>
        <v>0.954133710244806</v>
      </c>
      <c r="H667" s="0" t="n">
        <f aca="false">COSH($E$1*B667*86.4/$G$1)</f>
        <v>3.3402275711134</v>
      </c>
      <c r="I667" s="0" t="n">
        <f aca="false">(($G$1^2*1000)/($E$1*$I$1))*(H667-1)</f>
        <v>2.26936175763537</v>
      </c>
      <c r="J667" s="0" t="n">
        <f aca="false">$J$3*EXP(-$E$1*B667*86.4/$G$1)</f>
        <v>153.203845624975</v>
      </c>
      <c r="K667" s="0" t="n">
        <f aca="false">J666-J667</f>
        <v>0.433455789626237</v>
      </c>
    </row>
    <row r="668" customFormat="false" ht="12.8" hidden="false" customHeight="false" outlineLevel="0" collapsed="false">
      <c r="A668" s="0" t="n">
        <v>1</v>
      </c>
      <c r="B668" s="0" t="n">
        <f aca="false">B667+A668</f>
        <v>665</v>
      </c>
      <c r="C668" s="0" t="n">
        <f aca="false">$C$3+($G$1/($E$1*86.4))*SINH($E$1*B668*86.4/$G$1)</f>
        <v>45735.3829199037</v>
      </c>
      <c r="D668" s="0" t="n">
        <f aca="false">C668-$C$3-B668</f>
        <v>466.382919903677</v>
      </c>
      <c r="E668" s="0" t="n">
        <f aca="false">$E$1*B668*86.4</f>
        <v>563643.36</v>
      </c>
      <c r="F668" s="0" t="n">
        <f aca="false">$G$1*G668</f>
        <v>286315.876626627</v>
      </c>
      <c r="G668" s="0" t="n">
        <f aca="false">TANH($E$1*B668*86.4/$G$1)</f>
        <v>0.954386255422091</v>
      </c>
      <c r="H668" s="0" t="n">
        <f aca="false">COSH($E$1*B668*86.4/$G$1)</f>
        <v>3.34924514868644</v>
      </c>
      <c r="I668" s="0" t="n">
        <f aca="false">(($G$1^2*1000)/($E$1*$I$1))*(H668-1)</f>
        <v>2.27810626861514</v>
      </c>
      <c r="J668" s="0" t="n">
        <f aca="false">$J$3*EXP(-$E$1*B668*86.4/$G$1)</f>
        <v>152.771612740983</v>
      </c>
      <c r="K668" s="0" t="n">
        <f aca="false">J667-J668</f>
        <v>0.432232883991787</v>
      </c>
    </row>
    <row r="669" customFormat="false" ht="12.8" hidden="false" customHeight="false" outlineLevel="0" collapsed="false">
      <c r="A669" s="0" t="n">
        <v>1</v>
      </c>
      <c r="B669" s="0" t="n">
        <f aca="false">B668+A669</f>
        <v>666</v>
      </c>
      <c r="C669" s="0" t="n">
        <f aca="false">$C$3+($G$1/($E$1*86.4))*SINH($E$1*B669*86.4/$G$1)</f>
        <v>45738.7366849775</v>
      </c>
      <c r="D669" s="0" t="n">
        <f aca="false">C669-$C$3-B669</f>
        <v>468.73668497747</v>
      </c>
      <c r="E669" s="0" t="n">
        <f aca="false">$E$1*B669*86.4</f>
        <v>564490.944</v>
      </c>
      <c r="F669" s="0" t="n">
        <f aca="false">$G$1*G669</f>
        <v>286391.232700665</v>
      </c>
      <c r="G669" s="0" t="n">
        <f aca="false">TANH($E$1*B669*86.4/$G$1)</f>
        <v>0.95463744233555</v>
      </c>
      <c r="H669" s="0" t="n">
        <f aca="false">COSH($E$1*B669*86.4/$G$1)</f>
        <v>3.3582894606456</v>
      </c>
      <c r="I669" s="0" t="n">
        <f aca="false">(($G$1^2*1000)/($E$1*$I$1))*(H669-1)</f>
        <v>2.2868767044213</v>
      </c>
      <c r="J669" s="0" t="n">
        <f aca="false">$J$3*EXP(-$E$1*B669*86.4/$G$1)</f>
        <v>152.340599312451</v>
      </c>
      <c r="K669" s="0" t="n">
        <f aca="false">J668-J669</f>
        <v>0.431013428531941</v>
      </c>
    </row>
    <row r="670" customFormat="false" ht="12.8" hidden="false" customHeight="false" outlineLevel="0" collapsed="false">
      <c r="A670" s="0" t="n">
        <v>1</v>
      </c>
      <c r="B670" s="0" t="n">
        <f aca="false">B669+A670</f>
        <v>667</v>
      </c>
      <c r="C670" s="0" t="n">
        <f aca="false">$C$3+($G$1/($E$1*86.4))*SINH($E$1*B670*86.4/$G$1)</f>
        <v>45742.0995077605</v>
      </c>
      <c r="D670" s="0" t="n">
        <f aca="false">C670-$C$3-B670</f>
        <v>471.099507760489</v>
      </c>
      <c r="E670" s="0" t="n">
        <f aca="false">$E$1*B670*86.4</f>
        <v>565338.528</v>
      </c>
      <c r="F670" s="0" t="n">
        <f aca="false">$G$1*G670</f>
        <v>286466.183380718</v>
      </c>
      <c r="G670" s="0" t="n">
        <f aca="false">TANH($E$1*B670*86.4/$G$1)</f>
        <v>0.954887277935728</v>
      </c>
      <c r="H670" s="0" t="n">
        <f aca="false">COSH($E$1*B670*86.4/$G$1)</f>
        <v>3.3673605791845</v>
      </c>
      <c r="I670" s="0" t="n">
        <f aca="false">(($G$1^2*1000)/($E$1*$I$1))*(H670-1)</f>
        <v>2.29567313506131</v>
      </c>
      <c r="J670" s="0" t="n">
        <f aca="false">$J$3*EXP(-$E$1*B670*86.4/$G$1)</f>
        <v>151.910801898938</v>
      </c>
      <c r="K670" s="0" t="n">
        <f aca="false">J669-J670</f>
        <v>0.429797413513001</v>
      </c>
    </row>
    <row r="671" customFormat="false" ht="12.8" hidden="false" customHeight="false" outlineLevel="0" collapsed="false">
      <c r="A671" s="0" t="n">
        <v>1</v>
      </c>
      <c r="B671" s="0" t="n">
        <f aca="false">B670+A671</f>
        <v>668</v>
      </c>
      <c r="C671" s="0" t="n">
        <f aca="false">$C$3+($G$1/($E$1*86.4))*SINH($E$1*B671*86.4/$G$1)</f>
        <v>45745.4714150955</v>
      </c>
      <c r="D671" s="0" t="n">
        <f aca="false">C671-$C$3-B671</f>
        <v>473.471415095504</v>
      </c>
      <c r="E671" s="0" t="n">
        <f aca="false">$E$1*B671*86.4</f>
        <v>566186.112</v>
      </c>
      <c r="F671" s="0" t="n">
        <f aca="false">$G$1*G671</f>
        <v>286540.73074245</v>
      </c>
      <c r="G671" s="0" t="n">
        <f aca="false">TANH($E$1*B671*86.4/$G$1)</f>
        <v>0.955135769141501</v>
      </c>
      <c r="H671" s="0" t="n">
        <f aca="false">COSH($E$1*B671*86.4/$G$1)</f>
        <v>3.37645857671073</v>
      </c>
      <c r="I671" s="0" t="n">
        <f aca="false">(($G$1^2*1000)/($E$1*$I$1))*(H671-1)</f>
        <v>2.30449563075017</v>
      </c>
      <c r="J671" s="0" t="n">
        <f aca="false">$J$3*EXP(-$E$1*B671*86.4/$G$1)</f>
        <v>151.48221706971</v>
      </c>
      <c r="K671" s="0" t="n">
        <f aca="false">J670-J671</f>
        <v>0.428584829228186</v>
      </c>
    </row>
    <row r="672" customFormat="false" ht="12.8" hidden="false" customHeight="false" outlineLevel="0" collapsed="false">
      <c r="A672" s="0" t="n">
        <v>1</v>
      </c>
      <c r="B672" s="0" t="n">
        <f aca="false">B671+A672</f>
        <v>669</v>
      </c>
      <c r="C672" s="0" t="n">
        <f aca="false">$C$3+($G$1/($E$1*86.4))*SINH($E$1*B672*86.4/$G$1)</f>
        <v>45748.8524338978</v>
      </c>
      <c r="D672" s="0" t="n">
        <f aca="false">C672-$C$3-B672</f>
        <v>475.85243389778</v>
      </c>
      <c r="E672" s="0" t="n">
        <f aca="false">$E$1*B672*86.4</f>
        <v>567033.696</v>
      </c>
      <c r="F672" s="0" t="n">
        <f aca="false">$G$1*G672</f>
        <v>286614.876852054</v>
      </c>
      <c r="G672" s="0" t="n">
        <f aca="false">TANH($E$1*B672*86.4/$G$1)</f>
        <v>0.955382922840179</v>
      </c>
      <c r="H672" s="0" t="n">
        <f aca="false">COSH($E$1*B672*86.4/$G$1)</f>
        <v>3.38558352584643</v>
      </c>
      <c r="I672" s="0" t="n">
        <f aca="false">(($G$1^2*1000)/($E$1*$I$1))*(H672-1)</f>
        <v>2.31334426191089</v>
      </c>
      <c r="J672" s="0" t="n">
        <f aca="false">$J$3*EXP(-$E$1*B672*86.4/$G$1)</f>
        <v>151.054841403711</v>
      </c>
      <c r="K672" s="0" t="n">
        <f aca="false">J671-J672</f>
        <v>0.427375665998511</v>
      </c>
    </row>
    <row r="673" customFormat="false" ht="12.8" hidden="false" customHeight="false" outlineLevel="0" collapsed="false">
      <c r="A673" s="0" t="n">
        <v>1</v>
      </c>
      <c r="B673" s="0" t="n">
        <f aca="false">B672+A673</f>
        <v>670</v>
      </c>
      <c r="C673" s="0" t="n">
        <f aca="false">$C$3+($G$1/($E$1*86.4))*SINH($E$1*B673*86.4/$G$1)</f>
        <v>45752.2425911553</v>
      </c>
      <c r="D673" s="0" t="n">
        <f aca="false">C673-$C$3-B673</f>
        <v>478.242591155344</v>
      </c>
      <c r="E673" s="0" t="n">
        <f aca="false">$E$1*B673*86.4</f>
        <v>567881.28</v>
      </c>
      <c r="F673" s="0" t="n">
        <f aca="false">$G$1*G673</f>
        <v>286688.623766281</v>
      </c>
      <c r="G673" s="0" t="n">
        <f aca="false">TANH($E$1*B673*86.4/$G$1)</f>
        <v>0.955628745887602</v>
      </c>
      <c r="H673" s="0" t="n">
        <f aca="false">COSH($E$1*B673*86.4/$G$1)</f>
        <v>3.3947354994289</v>
      </c>
      <c r="I673" s="0" t="n">
        <f aca="false">(($G$1^2*1000)/($E$1*$I$1))*(H673-1)</f>
        <v>2.32221909917514</v>
      </c>
      <c r="J673" s="0" t="n">
        <f aca="false">$J$3*EXP(-$E$1*B673*86.4/$G$1)</f>
        <v>150.628671489539</v>
      </c>
      <c r="K673" s="0" t="n">
        <f aca="false">J672-J673</f>
        <v>0.426169914172192</v>
      </c>
    </row>
    <row r="674" customFormat="false" ht="12.8" hidden="false" customHeight="false" outlineLevel="0" collapsed="false">
      <c r="A674" s="0" t="n">
        <v>1</v>
      </c>
      <c r="B674" s="0" t="n">
        <f aca="false">B673+A674</f>
        <v>671</v>
      </c>
      <c r="C674" s="0" t="n">
        <f aca="false">$C$3+($G$1/($E$1*86.4))*SINH($E$1*B674*86.4/$G$1)</f>
        <v>45755.6419139291</v>
      </c>
      <c r="D674" s="0" t="n">
        <f aca="false">C674-$C$3-B674</f>
        <v>480.641913929139</v>
      </c>
      <c r="E674" s="0" t="n">
        <f aca="false">$E$1*B674*86.4</f>
        <v>568728.864</v>
      </c>
      <c r="F674" s="0" t="n">
        <f aca="false">$G$1*G674</f>
        <v>286761.973532474</v>
      </c>
      <c r="G674" s="0" t="n">
        <f aca="false">TANH($E$1*B674*86.4/$G$1)</f>
        <v>0.955873245108246</v>
      </c>
      <c r="H674" s="0" t="n">
        <f aca="false">COSH($E$1*B674*86.4/$G$1)</f>
        <v>3.40391457051112</v>
      </c>
      <c r="I674" s="0" t="n">
        <f aca="false">(($G$1^2*1000)/($E$1*$I$1))*(H674-1)</f>
        <v>2.33112021338375</v>
      </c>
      <c r="J674" s="0" t="n">
        <f aca="false">$J$3*EXP(-$E$1*B674*86.4/$G$1)</f>
        <v>150.203703925414</v>
      </c>
      <c r="K674" s="0" t="n">
        <f aca="false">J673-J674</f>
        <v>0.424967564124586</v>
      </c>
    </row>
    <row r="675" customFormat="false" ht="12.8" hidden="false" customHeight="false" outlineLevel="0" collapsed="false">
      <c r="A675" s="0" t="n">
        <v>1</v>
      </c>
      <c r="B675" s="0" t="n">
        <f aca="false">B674+A675</f>
        <v>672</v>
      </c>
      <c r="C675" s="0" t="n">
        <f aca="false">$C$3+($G$1/($E$1*86.4))*SINH($E$1*B675*86.4/$G$1)</f>
        <v>45759.0504293533</v>
      </c>
      <c r="D675" s="0" t="n">
        <f aca="false">C675-$C$3-B675</f>
        <v>483.050429353287</v>
      </c>
      <c r="E675" s="0" t="n">
        <f aca="false">$E$1*B675*86.4</f>
        <v>569576.448</v>
      </c>
      <c r="F675" s="0" t="n">
        <f aca="false">$G$1*G675</f>
        <v>286834.928188597</v>
      </c>
      <c r="G675" s="0" t="n">
        <f aca="false">TANH($E$1*B675*86.4/$G$1)</f>
        <v>0.956116427295322</v>
      </c>
      <c r="H675" s="0" t="n">
        <f aca="false">COSH($E$1*B675*86.4/$G$1)</f>
        <v>3.4131208123624</v>
      </c>
      <c r="I675" s="0" t="n">
        <f aca="false">(($G$1^2*1000)/($E$1*$I$1))*(H675-1)</f>
        <v>2.3400476755873</v>
      </c>
      <c r="J675" s="0" t="n">
        <f aca="false">$J$3*EXP(-$E$1*B675*86.4/$G$1)</f>
        <v>149.779935319156</v>
      </c>
      <c r="K675" s="0" t="n">
        <f aca="false">J674-J675</f>
        <v>0.423768606258449</v>
      </c>
    </row>
    <row r="676" customFormat="false" ht="12.8" hidden="false" customHeight="false" outlineLevel="0" collapsed="false">
      <c r="A676" s="0" t="n">
        <v>1</v>
      </c>
      <c r="B676" s="0" t="n">
        <f aca="false">B675+A676</f>
        <v>673</v>
      </c>
      <c r="C676" s="0" t="n">
        <f aca="false">$C$3+($G$1/($E$1*86.4))*SINH($E$1*B676*86.4/$G$1)</f>
        <v>45762.4681646353</v>
      </c>
      <c r="D676" s="0" t="n">
        <f aca="false">C676-$C$3-B676</f>
        <v>485.468164635277</v>
      </c>
      <c r="E676" s="0" t="n">
        <f aca="false">$E$1*B676*86.4</f>
        <v>570424.032</v>
      </c>
      <c r="F676" s="0" t="n">
        <f aca="false">$G$1*G676</f>
        <v>286907.489763263</v>
      </c>
      <c r="G676" s="0" t="n">
        <f aca="false">TANH($E$1*B676*86.4/$G$1)</f>
        <v>0.956358299210876</v>
      </c>
      <c r="H676" s="0" t="n">
        <f aca="false">COSH($E$1*B676*86.4/$G$1)</f>
        <v>3.42235429846891</v>
      </c>
      <c r="I676" s="0" t="n">
        <f aca="false">(($G$1^2*1000)/($E$1*$I$1))*(H676-1)</f>
        <v>2.3490015570467</v>
      </c>
      <c r="J676" s="0" t="n">
        <f aca="false">$J$3*EXP(-$E$1*B676*86.4/$G$1)</f>
        <v>149.357362288153</v>
      </c>
      <c r="K676" s="0" t="n">
        <f aca="false">J675-J676</f>
        <v>0.422573031003196</v>
      </c>
    </row>
    <row r="677" customFormat="false" ht="12.8" hidden="false" customHeight="false" outlineLevel="0" collapsed="false">
      <c r="A677" s="0" t="n">
        <v>1</v>
      </c>
      <c r="B677" s="0" t="n">
        <f aca="false">B676+A677</f>
        <v>674</v>
      </c>
      <c r="C677" s="0" t="n">
        <f aca="false">$C$3+($G$1/($E$1*86.4))*SINH($E$1*B677*86.4/$G$1)</f>
        <v>45765.8951470562</v>
      </c>
      <c r="D677" s="0" t="n">
        <f aca="false">C677-$C$3-B677</f>
        <v>487.895147056202</v>
      </c>
      <c r="E677" s="0" t="n">
        <f aca="false">$E$1*B677*86.4</f>
        <v>571271.616</v>
      </c>
      <c r="F677" s="0" t="n">
        <f aca="false">$G$1*G677</f>
        <v>286979.660275768</v>
      </c>
      <c r="G677" s="0" t="n">
        <f aca="false">TANH($E$1*B677*86.4/$G$1)</f>
        <v>0.956598867585894</v>
      </c>
      <c r="H677" s="0" t="n">
        <f aca="false">COSH($E$1*B677*86.4/$G$1)</f>
        <v>3.43161510253429</v>
      </c>
      <c r="I677" s="0" t="n">
        <f aca="false">(($G$1^2*1000)/($E$1*$I$1))*(H677-1)</f>
        <v>2.35798192923372</v>
      </c>
      <c r="J677" s="0" t="n">
        <f aca="false">$J$3*EXP(-$E$1*B677*86.4/$G$1)</f>
        <v>148.935981459337</v>
      </c>
      <c r="K677" s="0" t="n">
        <f aca="false">J676-J677</f>
        <v>0.421380828815785</v>
      </c>
    </row>
    <row r="678" customFormat="false" ht="12.8" hidden="false" customHeight="false" outlineLevel="0" collapsed="false">
      <c r="A678" s="0" t="n">
        <v>1</v>
      </c>
      <c r="B678" s="0" t="n">
        <f aca="false">B677+A678</f>
        <v>675</v>
      </c>
      <c r="C678" s="0" t="n">
        <f aca="false">$C$3+($G$1/($E$1*86.4))*SINH($E$1*B678*86.4/$G$1)</f>
        <v>45769.331403971</v>
      </c>
      <c r="D678" s="0" t="n">
        <f aca="false">C678-$C$3-B678</f>
        <v>490.331403970973</v>
      </c>
      <c r="E678" s="0" t="n">
        <f aca="false">$E$1*B678*86.4</f>
        <v>572119.2</v>
      </c>
      <c r="F678" s="0" t="n">
        <f aca="false">$G$1*G678</f>
        <v>287051.44173612</v>
      </c>
      <c r="G678" s="0" t="n">
        <f aca="false">TANH($E$1*B678*86.4/$G$1)</f>
        <v>0.956838139120401</v>
      </c>
      <c r="H678" s="0" t="n">
        <f aca="false">COSH($E$1*B678*86.4/$G$1)</f>
        <v>3.44090329848026</v>
      </c>
      <c r="I678" s="0" t="n">
        <f aca="false">(($G$1^2*1000)/($E$1*$I$1))*(H678-1)</f>
        <v>2.36698886383162</v>
      </c>
      <c r="J678" s="0" t="n">
        <f aca="false">$J$3*EXP(-$E$1*B678*86.4/$G$1)</f>
        <v>148.515789469157</v>
      </c>
      <c r="K678" s="0" t="n">
        <f aca="false">J677-J678</f>
        <v>0.42019199017949</v>
      </c>
    </row>
    <row r="679" customFormat="false" ht="12.8" hidden="false" customHeight="false" outlineLevel="0" collapsed="false">
      <c r="A679" s="0" t="n">
        <v>1</v>
      </c>
      <c r="B679" s="0" t="n">
        <f aca="false">B678+A679</f>
        <v>676</v>
      </c>
      <c r="C679" s="0" t="n">
        <f aca="false">$C$3+($G$1/($E$1*86.4))*SINH($E$1*B679*86.4/$G$1)</f>
        <v>45772.7769628085</v>
      </c>
      <c r="D679" s="0" t="n">
        <f aca="false">C679-$C$3-B679</f>
        <v>492.776962808501</v>
      </c>
      <c r="E679" s="0" t="n">
        <f aca="false">$E$1*B679*86.4</f>
        <v>572966.784</v>
      </c>
      <c r="F679" s="0" t="n">
        <f aca="false">$G$1*G679</f>
        <v>287122.83614507</v>
      </c>
      <c r="G679" s="0" t="n">
        <f aca="false">TANH($E$1*B679*86.4/$G$1)</f>
        <v>0.957076120483565</v>
      </c>
      <c r="H679" s="0" t="n">
        <f aca="false">COSH($E$1*B679*86.4/$G$1)</f>
        <v>3.45021896044716</v>
      </c>
      <c r="I679" s="0" t="n">
        <f aca="false">(($G$1^2*1000)/($E$1*$I$1))*(H679-1)</f>
        <v>2.37602243273564</v>
      </c>
      <c r="J679" s="0" t="n">
        <f aca="false">$J$3*EXP(-$E$1*B679*86.4/$G$1)</f>
        <v>148.096782963552</v>
      </c>
      <c r="K679" s="0" t="n">
        <f aca="false">J678-J679</f>
        <v>0.419006505605012</v>
      </c>
    </row>
    <row r="680" customFormat="false" ht="12.8" hidden="false" customHeight="false" outlineLevel="0" collapsed="false">
      <c r="A680" s="0" t="n">
        <v>1</v>
      </c>
      <c r="B680" s="0" t="n">
        <f aca="false">B679+A680</f>
        <v>677</v>
      </c>
      <c r="C680" s="0" t="n">
        <f aca="false">$C$3+($G$1/($E$1*86.4))*SINH($E$1*B680*86.4/$G$1)</f>
        <v>45776.231851072</v>
      </c>
      <c r="D680" s="0" t="n">
        <f aca="false">C680-$C$3-B680</f>
        <v>495.231851071985</v>
      </c>
      <c r="E680" s="0" t="n">
        <f aca="false">$E$1*B680*86.4</f>
        <v>573814.368</v>
      </c>
      <c r="F680" s="0" t="n">
        <f aca="false">$G$1*G680</f>
        <v>287193.845494139</v>
      </c>
      <c r="G680" s="0" t="n">
        <f aca="false">TANH($E$1*B680*86.4/$G$1)</f>
        <v>0.957312818313798</v>
      </c>
      <c r="H680" s="0" t="n">
        <f aca="false">COSH($E$1*B680*86.4/$G$1)</f>
        <v>3.45956216279459</v>
      </c>
      <c r="I680" s="0" t="n">
        <f aca="false">(($G$1^2*1000)/($E$1*$I$1))*(H680-1)</f>
        <v>2.38508270805366</v>
      </c>
      <c r="J680" s="0" t="n">
        <f aca="false">$J$3*EXP(-$E$1*B680*86.4/$G$1)</f>
        <v>147.678958597923</v>
      </c>
      <c r="K680" s="0" t="n">
        <f aca="false">J679-J680</f>
        <v>0.417824365629343</v>
      </c>
    </row>
    <row r="681" customFormat="false" ht="12.8" hidden="false" customHeight="false" outlineLevel="0" collapsed="false">
      <c r="A681" s="0" t="n">
        <v>1</v>
      </c>
      <c r="B681" s="0" t="n">
        <f aca="false">B680+A681</f>
        <v>678</v>
      </c>
      <c r="C681" s="0" t="n">
        <f aca="false">$C$3+($G$1/($E$1*86.4))*SINH($E$1*B681*86.4/$G$1)</f>
        <v>45779.6960963391</v>
      </c>
      <c r="D681" s="0" t="n">
        <f aca="false">C681-$C$3-B681</f>
        <v>497.696096339074</v>
      </c>
      <c r="E681" s="0" t="n">
        <f aca="false">$E$1*B681*86.4</f>
        <v>574661.952</v>
      </c>
      <c r="F681" s="0" t="n">
        <f aca="false">$G$1*G681</f>
        <v>287264.471765657</v>
      </c>
      <c r="G681" s="0" t="n">
        <f aca="false">TANH($E$1*B681*86.4/$G$1)</f>
        <v>0.957548239218857</v>
      </c>
      <c r="H681" s="0" t="n">
        <f aca="false">COSH($E$1*B681*86.4/$G$1)</f>
        <v>3.46893298010197</v>
      </c>
      <c r="I681" s="0" t="n">
        <f aca="false">(($G$1^2*1000)/($E$1*$I$1))*(H681-1)</f>
        <v>2.39416976210671</v>
      </c>
      <c r="J681" s="0" t="n">
        <f aca="false">$J$3*EXP(-$E$1*B681*86.4/$G$1)</f>
        <v>147.262313037106</v>
      </c>
      <c r="K681" s="0" t="n">
        <f aca="false">J680-J681</f>
        <v>0.416645560816647</v>
      </c>
    </row>
    <row r="682" customFormat="false" ht="12.8" hidden="false" customHeight="false" outlineLevel="0" collapsed="false">
      <c r="A682" s="0" t="n">
        <v>1</v>
      </c>
      <c r="B682" s="0" t="n">
        <f aca="false">B681+A682</f>
        <v>679</v>
      </c>
      <c r="C682" s="0" t="n">
        <f aca="false">$C$3+($G$1/($E$1*86.4))*SINH($E$1*B682*86.4/$G$1)</f>
        <v>45783.1697262621</v>
      </c>
      <c r="D682" s="0" t="n">
        <f aca="false">C682-$C$3-B682</f>
        <v>500.169726262109</v>
      </c>
      <c r="E682" s="0" t="n">
        <f aca="false">$E$1*B682*86.4</f>
        <v>575509.536</v>
      </c>
      <c r="F682" s="0" t="n">
        <f aca="false">$G$1*G682</f>
        <v>287334.716932785</v>
      </c>
      <c r="G682" s="0" t="n">
        <f aca="false">TANH($E$1*B682*86.4/$G$1)</f>
        <v>0.95778238977595</v>
      </c>
      <c r="H682" s="0" t="n">
        <f aca="false">COSH($E$1*B682*86.4/$G$1)</f>
        <v>3.47833148716916</v>
      </c>
      <c r="I682" s="0" t="n">
        <f aca="false">(($G$1^2*1000)/($E$1*$I$1))*(H682-1)</f>
        <v>2.40328366742961</v>
      </c>
      <c r="J682" s="0" t="n">
        <f aca="false">$J$3*EXP(-$E$1*B682*86.4/$G$1)</f>
        <v>146.846842955349</v>
      </c>
      <c r="K682" s="0" t="n">
        <f aca="false">J681-J682</f>
        <v>0.415470081757206</v>
      </c>
    </row>
    <row r="683" customFormat="false" ht="12.8" hidden="false" customHeight="false" outlineLevel="0" collapsed="false">
      <c r="A683" s="0" t="n">
        <v>1</v>
      </c>
      <c r="B683" s="0" t="n">
        <f aca="false">B682+A683</f>
        <v>680</v>
      </c>
      <c r="C683" s="0" t="n">
        <f aca="false">$C$3+($G$1/($E$1*86.4))*SINH($E$1*B683*86.4/$G$1)</f>
        <v>45786.6527685683</v>
      </c>
      <c r="D683" s="0" t="n">
        <f aca="false">C683-$C$3-B683</f>
        <v>502.65276856834</v>
      </c>
      <c r="E683" s="0" t="n">
        <f aca="false">$E$1*B683*86.4</f>
        <v>576357.12</v>
      </c>
      <c r="F683" s="0" t="n">
        <f aca="false">$G$1*G683</f>
        <v>287404.58295955</v>
      </c>
      <c r="G683" s="0" t="n">
        <f aca="false">TANH($E$1*B683*86.4/$G$1)</f>
        <v>0.958015276531834</v>
      </c>
      <c r="H683" s="0" t="n">
        <f aca="false">COSH($E$1*B683*86.4/$G$1)</f>
        <v>3.48775775901704</v>
      </c>
      <c r="I683" s="0" t="n">
        <f aca="false">(($G$1^2*1000)/($E$1*$I$1))*(H683-1)</f>
        <v>2.41242449677146</v>
      </c>
      <c r="J683" s="0" t="n">
        <f aca="false">$J$3*EXP(-$E$1*B683*86.4/$G$1)</f>
        <v>146.432545036281</v>
      </c>
      <c r="K683" s="0" t="n">
        <f aca="false">J682-J683</f>
        <v>0.414297919068247</v>
      </c>
    </row>
    <row r="684" customFormat="false" ht="12.8" hidden="false" customHeight="false" outlineLevel="0" collapsed="false">
      <c r="A684" s="0" t="n">
        <v>1</v>
      </c>
      <c r="B684" s="0" t="n">
        <f aca="false">B683+A684</f>
        <v>681</v>
      </c>
      <c r="C684" s="0" t="n">
        <f aca="false">$C$3+($G$1/($E$1*86.4))*SINH($E$1*B684*86.4/$G$1)</f>
        <v>45790.1452510602</v>
      </c>
      <c r="D684" s="0" t="n">
        <f aca="false">C684-$C$3-B684</f>
        <v>505.145251060152</v>
      </c>
      <c r="E684" s="0" t="n">
        <f aca="false">$E$1*B684*86.4</f>
        <v>577204.704</v>
      </c>
      <c r="F684" s="0" t="n">
        <f aca="false">$G$1*G684</f>
        <v>287474.071800877</v>
      </c>
      <c r="G684" s="0" t="n">
        <f aca="false">TANH($E$1*B684*86.4/$G$1)</f>
        <v>0.958246906002922</v>
      </c>
      <c r="H684" s="0" t="n">
        <f aca="false">COSH($E$1*B684*86.4/$G$1)</f>
        <v>3.49721187088811</v>
      </c>
      <c r="I684" s="0" t="n">
        <f aca="false">(($G$1^2*1000)/($E$1*$I$1))*(H684-1)</f>
        <v>2.42159232309631</v>
      </c>
      <c r="J684" s="0" t="n">
        <f aca="false">$J$3*EXP(-$E$1*B684*86.4/$G$1)</f>
        <v>146.019415972888</v>
      </c>
      <c r="K684" s="0" t="n">
        <f aca="false">J683-J684</f>
        <v>0.413129063393257</v>
      </c>
    </row>
    <row r="685" customFormat="false" ht="12.8" hidden="false" customHeight="false" outlineLevel="0" collapsed="false">
      <c r="A685" s="0" t="n">
        <v>1</v>
      </c>
      <c r="B685" s="0" t="n">
        <f aca="false">B684+A685</f>
        <v>682</v>
      </c>
      <c r="C685" s="0" t="n">
        <f aca="false">$C$3+($G$1/($E$1*86.4))*SINH($E$1*B685*86.4/$G$1)</f>
        <v>45793.6472016153</v>
      </c>
      <c r="D685" s="0" t="n">
        <f aca="false">C685-$C$3-B685</f>
        <v>507.647201615277</v>
      </c>
      <c r="E685" s="0" t="n">
        <f aca="false">$E$1*B685*86.4</f>
        <v>578052.288</v>
      </c>
      <c r="F685" s="0" t="n">
        <f aca="false">$G$1*G685</f>
        <v>287543.185402615</v>
      </c>
      <c r="G685" s="0" t="n">
        <f aca="false">TANH($E$1*B685*86.4/$G$1)</f>
        <v>0.958477284675383</v>
      </c>
      <c r="H685" s="0" t="n">
        <f aca="false">COSH($E$1*B685*86.4/$G$1)</f>
        <v>3.50669389824709</v>
      </c>
      <c r="I685" s="0" t="n">
        <f aca="false">(($G$1^2*1000)/($E$1*$I$1))*(H685-1)</f>
        <v>2.43078721958371</v>
      </c>
      <c r="J685" s="0" t="n">
        <f aca="false">$J$3*EXP(-$E$1*B685*86.4/$G$1)</f>
        <v>145.607452467486</v>
      </c>
      <c r="K685" s="0" t="n">
        <f aca="false">J684-J685</f>
        <v>0.411963505402071</v>
      </c>
    </row>
    <row r="686" customFormat="false" ht="12.8" hidden="false" customHeight="false" outlineLevel="0" collapsed="false">
      <c r="A686" s="0" t="n">
        <v>1</v>
      </c>
      <c r="B686" s="0" t="n">
        <f aca="false">B685+A686</f>
        <v>683</v>
      </c>
      <c r="C686" s="0" t="n">
        <f aca="false">$C$3+($G$1/($E$1*86.4))*SINH($E$1*B686*86.4/$G$1)</f>
        <v>45797.158648187</v>
      </c>
      <c r="D686" s="0" t="n">
        <f aca="false">C686-$C$3-B686</f>
        <v>510.158648187033</v>
      </c>
      <c r="E686" s="0" t="n">
        <f aca="false">$E$1*B686*86.4</f>
        <v>578899.872</v>
      </c>
      <c r="F686" s="0" t="n">
        <f aca="false">$G$1*G686</f>
        <v>287611.925701574</v>
      </c>
      <c r="G686" s="0" t="n">
        <f aca="false">TANH($E$1*B686*86.4/$G$1)</f>
        <v>0.958706419005245</v>
      </c>
      <c r="H686" s="0" t="n">
        <f aca="false">COSH($E$1*B686*86.4/$G$1)</f>
        <v>3.51620391678155</v>
      </c>
      <c r="I686" s="0" t="n">
        <f aca="false">(($G$1^2*1000)/($E$1*$I$1))*(H686-1)</f>
        <v>2.44000925962926</v>
      </c>
      <c r="J686" s="0" t="n">
        <f aca="false">$J$3*EXP(-$E$1*B686*86.4/$G$1)</f>
        <v>145.196651231694</v>
      </c>
      <c r="K686" s="0" t="n">
        <f aca="false">J685-J686</f>
        <v>0.410801235791269</v>
      </c>
    </row>
    <row r="687" customFormat="false" ht="12.8" hidden="false" customHeight="false" outlineLevel="0" collapsed="false">
      <c r="A687" s="0" t="n">
        <v>1</v>
      </c>
      <c r="B687" s="0" t="n">
        <f aca="false">B686+A687</f>
        <v>684</v>
      </c>
      <c r="C687" s="0" t="n">
        <f aca="false">$C$3+($G$1/($E$1*86.4))*SINH($E$1*B687*86.4/$G$1)</f>
        <v>45800.6796188045</v>
      </c>
      <c r="D687" s="0" t="n">
        <f aca="false">C687-$C$3-B687</f>
        <v>512.679618804534</v>
      </c>
      <c r="E687" s="0" t="n">
        <f aca="false">$E$1*B687*86.4</f>
        <v>579747.456</v>
      </c>
      <c r="F687" s="0" t="n">
        <f aca="false">$G$1*G687</f>
        <v>287680.29462555</v>
      </c>
      <c r="G687" s="0" t="n">
        <f aca="false">TANH($E$1*B687*86.4/$G$1)</f>
        <v>0.958934315418499</v>
      </c>
      <c r="H687" s="0" t="n">
        <f aca="false">COSH($E$1*B687*86.4/$G$1)</f>
        <v>3.52574200240248</v>
      </c>
      <c r="I687" s="0" t="n">
        <f aca="false">(($G$1^2*1000)/($E$1*$I$1))*(H687-1)</f>
        <v>2.44925851684525</v>
      </c>
      <c r="J687" s="0" t="n">
        <f aca="false">$J$3*EXP(-$E$1*B687*86.4/$G$1)</f>
        <v>144.787008986411</v>
      </c>
      <c r="K687" s="0" t="n">
        <f aca="false">J686-J687</f>
        <v>0.409642245283095</v>
      </c>
    </row>
    <row r="688" customFormat="false" ht="12.8" hidden="false" customHeight="false" outlineLevel="0" collapsed="false">
      <c r="A688" s="0" t="n">
        <v>1</v>
      </c>
      <c r="B688" s="0" t="n">
        <f aca="false">B687+A688</f>
        <v>685</v>
      </c>
      <c r="C688" s="0" t="n">
        <f aca="false">$C$3+($G$1/($E$1*86.4))*SINH($E$1*B688*86.4/$G$1)</f>
        <v>45804.2101415729</v>
      </c>
      <c r="D688" s="0" t="n">
        <f aca="false">C688-$C$3-B688</f>
        <v>515.210141572912</v>
      </c>
      <c r="E688" s="0" t="n">
        <f aca="false">$E$1*B688*86.4</f>
        <v>580595.04</v>
      </c>
      <c r="F688" s="0" t="n">
        <f aca="false">$G$1*G688</f>
        <v>287748.29409336</v>
      </c>
      <c r="G688" s="0" t="n">
        <f aca="false">TANH($E$1*B688*86.4/$G$1)</f>
        <v>0.959160980311201</v>
      </c>
      <c r="H688" s="0" t="n">
        <f aca="false">COSH($E$1*B688*86.4/$G$1)</f>
        <v>3.53530823124489</v>
      </c>
      <c r="I688" s="0" t="n">
        <f aca="false">(($G$1^2*1000)/($E$1*$I$1))*(H688-1)</f>
        <v>2.45853506506121</v>
      </c>
      <c r="J688" s="0" t="n">
        <f aca="false">$J$3*EXP(-$E$1*B688*86.4/$G$1)</f>
        <v>144.378522461785</v>
      </c>
      <c r="K688" s="0" t="n">
        <f aca="false">J687-J688</f>
        <v>0.408486524626341</v>
      </c>
    </row>
    <row r="689" customFormat="false" ht="12.8" hidden="false" customHeight="false" outlineLevel="0" collapsed="false">
      <c r="A689" s="0" t="n">
        <v>1</v>
      </c>
      <c r="B689" s="0" t="n">
        <f aca="false">B688+A689</f>
        <v>686</v>
      </c>
      <c r="C689" s="0" t="n">
        <f aca="false">$C$3+($G$1/($E$1*86.4))*SINH($E$1*B689*86.4/$G$1)</f>
        <v>45807.7502446735</v>
      </c>
      <c r="D689" s="0" t="n">
        <f aca="false">C689-$C$3-B689</f>
        <v>517.750244673545</v>
      </c>
      <c r="E689" s="0" t="n">
        <f aca="false">$E$1*B689*86.4</f>
        <v>581442.624</v>
      </c>
      <c r="F689" s="0" t="n">
        <f aca="false">$G$1*G689</f>
        <v>287815.926014873</v>
      </c>
      <c r="G689" s="0" t="n">
        <f aca="false">TANH($E$1*B689*86.4/$G$1)</f>
        <v>0.959386420049576</v>
      </c>
      <c r="H689" s="0" t="n">
        <f aca="false">COSH($E$1*B689*86.4/$G$1)</f>
        <v>3.54490267966847</v>
      </c>
      <c r="I689" s="0" t="n">
        <f aca="false">(($G$1^2*1000)/($E$1*$I$1))*(H689-1)</f>
        <v>2.46783897832453</v>
      </c>
      <c r="J689" s="0" t="n">
        <f aca="false">$J$3*EXP(-$E$1*B689*86.4/$G$1)</f>
        <v>143.971188397189</v>
      </c>
      <c r="K689" s="0" t="n">
        <f aca="false">J688-J689</f>
        <v>0.407334064595801</v>
      </c>
    </row>
    <row r="690" customFormat="false" ht="12.8" hidden="false" customHeight="false" outlineLevel="0" collapsed="false">
      <c r="A690" s="0" t="n">
        <v>1</v>
      </c>
      <c r="B690" s="0" t="n">
        <f aca="false">B689+A690</f>
        <v>687</v>
      </c>
      <c r="C690" s="0" t="n">
        <f aca="false">$C$3+($G$1/($E$1*86.4))*SINH($E$1*B690*86.4/$G$1)</f>
        <v>45811.2999563643</v>
      </c>
      <c r="D690" s="0" t="n">
        <f aca="false">C690-$C$3-B690</f>
        <v>520.299956364295</v>
      </c>
      <c r="E690" s="0" t="n">
        <f aca="false">$E$1*B690*86.4</f>
        <v>582290.208</v>
      </c>
      <c r="F690" s="0" t="n">
        <f aca="false">$G$1*G690</f>
        <v>287883.192291036</v>
      </c>
      <c r="G690" s="0" t="n">
        <f aca="false">TANH($E$1*B690*86.4/$G$1)</f>
        <v>0.95961064097012</v>
      </c>
      <c r="H690" s="0" t="n">
        <f aca="false">COSH($E$1*B690*86.4/$G$1)</f>
        <v>3.55452542425812</v>
      </c>
      <c r="I690" s="0" t="n">
        <f aca="false">(($G$1^2*1000)/($E$1*$I$1))*(H690-1)</f>
        <v>2.47717033090101</v>
      </c>
      <c r="J690" s="0" t="n">
        <f aca="false">$J$3*EXP(-$E$1*B690*86.4/$G$1)</f>
        <v>143.565003541197</v>
      </c>
      <c r="K690" s="0" t="n">
        <f aca="false">J689-J690</f>
        <v>0.406184855992251</v>
      </c>
    </row>
    <row r="691" customFormat="false" ht="12.8" hidden="false" customHeight="false" outlineLevel="0" collapsed="false">
      <c r="A691" s="0" t="n">
        <v>1</v>
      </c>
      <c r="B691" s="0" t="n">
        <f aca="false">B690+A691</f>
        <v>688</v>
      </c>
      <c r="C691" s="0" t="n">
        <f aca="false">$C$3+($G$1/($E$1*86.4))*SINH($E$1*B691*86.4/$G$1)</f>
        <v>45814.8593049797</v>
      </c>
      <c r="D691" s="0" t="n">
        <f aca="false">C691-$C$3-B691</f>
        <v>522.85930497972</v>
      </c>
      <c r="E691" s="0" t="n">
        <f aca="false">$E$1*B691*86.4</f>
        <v>583137.792</v>
      </c>
      <c r="F691" s="0" t="n">
        <f aca="false">$G$1*G691</f>
        <v>287950.094813912</v>
      </c>
      <c r="G691" s="0" t="n">
        <f aca="false">TANH($E$1*B691*86.4/$G$1)</f>
        <v>0.959833649379707</v>
      </c>
      <c r="H691" s="0" t="n">
        <f aca="false">COSH($E$1*B691*86.4/$G$1)</f>
        <v>3.56417654182466</v>
      </c>
      <c r="I691" s="0" t="n">
        <f aca="false">(($G$1^2*1000)/($E$1*$I$1))*(H691-1)</f>
        <v>2.48652919727549</v>
      </c>
      <c r="J691" s="0" t="n">
        <f aca="false">$J$3*EXP(-$E$1*B691*86.4/$G$1)</f>
        <v>143.159964651554</v>
      </c>
      <c r="K691" s="0" t="n">
        <f aca="false">J690-J691</f>
        <v>0.405038889642526</v>
      </c>
    </row>
    <row r="692" customFormat="false" ht="12.8" hidden="false" customHeight="false" outlineLevel="0" collapsed="false">
      <c r="A692" s="0" t="n">
        <v>1</v>
      </c>
      <c r="B692" s="0" t="n">
        <f aca="false">B691+A692</f>
        <v>689</v>
      </c>
      <c r="C692" s="0" t="n">
        <f aca="false">$C$3+($G$1/($E$1*86.4))*SINH($E$1*B692*86.4/$G$1)</f>
        <v>45818.4283189313</v>
      </c>
      <c r="D692" s="0" t="n">
        <f aca="false">C692-$C$3-B692</f>
        <v>525.428318931285</v>
      </c>
      <c r="E692" s="0" t="n">
        <f aca="false">$E$1*B692*86.4</f>
        <v>583985.376</v>
      </c>
      <c r="F692" s="0" t="n">
        <f aca="false">$G$1*G692</f>
        <v>288016.635466705</v>
      </c>
      <c r="G692" s="0" t="n">
        <f aca="false">TANH($E$1*B692*86.4/$G$1)</f>
        <v>0.960055451555684</v>
      </c>
      <c r="H692" s="0" t="n">
        <f aca="false">COSH($E$1*B692*86.4/$G$1)</f>
        <v>3.57385610940533</v>
      </c>
      <c r="I692" s="0" t="n">
        <f aca="false">(($G$1^2*1000)/($E$1*$I$1))*(H692-1)</f>
        <v>2.49591565215244</v>
      </c>
      <c r="J692" s="0" t="n">
        <f aca="false">$J$3*EXP(-$E$1*B692*86.4/$G$1)</f>
        <v>142.756068495155</v>
      </c>
      <c r="K692" s="0" t="n">
        <f aca="false">J691-J692</f>
        <v>0.403896156399128</v>
      </c>
    </row>
    <row r="693" customFormat="false" ht="12.8" hidden="false" customHeight="false" outlineLevel="0" collapsed="false">
      <c r="A693" s="0" t="n">
        <v>1</v>
      </c>
      <c r="B693" s="0" t="n">
        <f aca="false">B692+A693</f>
        <v>690</v>
      </c>
      <c r="C693" s="0" t="n">
        <f aca="false">$C$3+($G$1/($E$1*86.4))*SINH($E$1*B693*86.4/$G$1)</f>
        <v>45822.0070267076</v>
      </c>
      <c r="D693" s="0" t="n">
        <f aca="false">C693-$C$3-B693</f>
        <v>528.007026707623</v>
      </c>
      <c r="E693" s="0" t="n">
        <f aca="false">$E$1*B693*86.4</f>
        <v>584832.96</v>
      </c>
      <c r="F693" s="0" t="n">
        <f aca="false">$G$1*G693</f>
        <v>288082.816123796</v>
      </c>
      <c r="G693" s="0" t="n">
        <f aca="false">TANH($E$1*B693*86.4/$G$1)</f>
        <v>0.960276053745985</v>
      </c>
      <c r="H693" s="0" t="n">
        <f aca="false">COSH($E$1*B693*86.4/$G$1)</f>
        <v>3.58356420426452</v>
      </c>
      <c r="I693" s="0" t="n">
        <f aca="false">(($G$1^2*1000)/($E$1*$I$1))*(H693-1)</f>
        <v>2.50532977045652</v>
      </c>
      <c r="J693" s="0" t="n">
        <f aca="false">$J$3*EXP(-$E$1*B693*86.4/$G$1)</f>
        <v>142.353311848015</v>
      </c>
      <c r="K693" s="0" t="n">
        <f aca="false">J692-J693</f>
        <v>0.402756647140762</v>
      </c>
    </row>
    <row r="694" customFormat="false" ht="12.8" hidden="false" customHeight="false" outlineLevel="0" collapsed="false">
      <c r="A694" s="0" t="n">
        <v>1</v>
      </c>
      <c r="B694" s="0" t="n">
        <f aca="false">B693+A694</f>
        <v>691</v>
      </c>
      <c r="C694" s="0" t="n">
        <f aca="false">$C$3+($G$1/($E$1*86.4))*SINH($E$1*B694*86.4/$G$1)</f>
        <v>45825.5954568747</v>
      </c>
      <c r="D694" s="0" t="n">
        <f aca="false">C694-$C$3-B694</f>
        <v>530.595456874733</v>
      </c>
      <c r="E694" s="0" t="n">
        <f aca="false">$E$1*B694*86.4</f>
        <v>585680.544</v>
      </c>
      <c r="F694" s="0" t="n">
        <f aca="false">$G$1*G694</f>
        <v>288148.638650768</v>
      </c>
      <c r="G694" s="0" t="n">
        <f aca="false">TANH($E$1*B694*86.4/$G$1)</f>
        <v>0.960495462169227</v>
      </c>
      <c r="H694" s="0" t="n">
        <f aca="false">COSH($E$1*B694*86.4/$G$1)</f>
        <v>3.59330090389429</v>
      </c>
      <c r="I694" s="0" t="n">
        <f aca="false">(($G$1^2*1000)/($E$1*$I$1))*(H694-1)</f>
        <v>2.51477162733323</v>
      </c>
      <c r="J694" s="0" t="n">
        <f aca="false">$J$3*EXP(-$E$1*B694*86.4/$G$1)</f>
        <v>141.951691495243</v>
      </c>
      <c r="K694" s="0" t="n">
        <f aca="false">J693-J694</f>
        <v>0.401620352771431</v>
      </c>
    </row>
    <row r="695" customFormat="false" ht="12.8" hidden="false" customHeight="false" outlineLevel="0" collapsed="false">
      <c r="A695" s="0" t="n">
        <v>1</v>
      </c>
      <c r="B695" s="0" t="n">
        <f aca="false">B694+A695</f>
        <v>692</v>
      </c>
      <c r="C695" s="0" t="n">
        <f aca="false">$C$3+($G$1/($E$1*86.4))*SINH($E$1*B695*86.4/$G$1)</f>
        <v>45829.1936380762</v>
      </c>
      <c r="D695" s="0" t="n">
        <f aca="false">C695-$C$3-B695</f>
        <v>533.193638076235</v>
      </c>
      <c r="E695" s="0" t="n">
        <f aca="false">$E$1*B695*86.4</f>
        <v>586528.128</v>
      </c>
      <c r="F695" s="0" t="n">
        <f aca="false">$G$1*G695</f>
        <v>288214.104904444</v>
      </c>
      <c r="G695" s="0" t="n">
        <f aca="false">TANH($E$1*B695*86.4/$G$1)</f>
        <v>0.960713683014815</v>
      </c>
      <c r="H695" s="0" t="n">
        <f aca="false">COSH($E$1*B695*86.4/$G$1)</f>
        <v>3.60306628601505</v>
      </c>
      <c r="I695" s="0" t="n">
        <f aca="false">(($G$1^2*1000)/($E$1*$I$1))*(H695-1)</f>
        <v>2.52424129814948</v>
      </c>
      <c r="J695" s="0" t="n">
        <f aca="false">$J$3*EXP(-$E$1*B695*86.4/$G$1)</f>
        <v>141.551204231022</v>
      </c>
      <c r="K695" s="0" t="n">
        <f aca="false">J694-J695</f>
        <v>0.400487264221113</v>
      </c>
    </row>
    <row r="696" customFormat="false" ht="12.8" hidden="false" customHeight="false" outlineLevel="0" collapsed="false">
      <c r="A696" s="0" t="n">
        <v>1</v>
      </c>
      <c r="B696" s="0" t="n">
        <f aca="false">B695+A696</f>
        <v>693</v>
      </c>
      <c r="C696" s="0" t="n">
        <f aca="false">$C$3+($G$1/($E$1*86.4))*SINH($E$1*B696*86.4/$G$1)</f>
        <v>45832.8015990336</v>
      </c>
      <c r="D696" s="0" t="n">
        <f aca="false">C696-$C$3-B696</f>
        <v>535.801599033577</v>
      </c>
      <c r="E696" s="0" t="n">
        <f aca="false">$E$1*B696*86.4</f>
        <v>587375.712</v>
      </c>
      <c r="F696" s="0" t="n">
        <f aca="false">$G$1*G696</f>
        <v>288279.216732914</v>
      </c>
      <c r="G696" s="0" t="n">
        <f aca="false">TANH($E$1*B696*86.4/$G$1)</f>
        <v>0.960930722443046</v>
      </c>
      <c r="H696" s="0" t="n">
        <f aca="false">COSH($E$1*B696*86.4/$G$1)</f>
        <v>3.61286042857615</v>
      </c>
      <c r="I696" s="0" t="n">
        <f aca="false">(($G$1^2*1000)/($E$1*$I$1))*(H696-1)</f>
        <v>2.53373885849418</v>
      </c>
      <c r="J696" s="0" t="n">
        <f aca="false">$J$3*EXP(-$E$1*B696*86.4/$G$1)</f>
        <v>141.151846858577</v>
      </c>
      <c r="K696" s="0" t="n">
        <f aca="false">J695-J696</f>
        <v>0.399357372445138</v>
      </c>
    </row>
    <row r="697" customFormat="false" ht="12.8" hidden="false" customHeight="false" outlineLevel="0" collapsed="false">
      <c r="A697" s="0" t="n">
        <v>1</v>
      </c>
      <c r="B697" s="0" t="n">
        <f aca="false">B696+A697</f>
        <v>694</v>
      </c>
      <c r="C697" s="0" t="n">
        <f aca="false">$C$3+($G$1/($E$1*86.4))*SINH($E$1*B697*86.4/$G$1)</f>
        <v>45836.4193685463</v>
      </c>
      <c r="D697" s="0" t="n">
        <f aca="false">C697-$C$3-B697</f>
        <v>538.41936854626</v>
      </c>
      <c r="E697" s="0" t="n">
        <f aca="false">$E$1*B697*86.4</f>
        <v>588223.296</v>
      </c>
      <c r="F697" s="0" t="n">
        <f aca="false">$G$1*G697</f>
        <v>288343.975975565</v>
      </c>
      <c r="G697" s="0" t="n">
        <f aca="false">TANH($E$1*B697*86.4/$G$1)</f>
        <v>0.961146586585215</v>
      </c>
      <c r="H697" s="0" t="n">
        <f aca="false">COSH($E$1*B697*86.4/$G$1)</f>
        <v>3.62268340975653</v>
      </c>
      <c r="I697" s="0" t="n">
        <f aca="false">(($G$1^2*1000)/($E$1*$I$1))*(H697-1)</f>
        <v>2.5432643841789</v>
      </c>
      <c r="J697" s="0" t="n">
        <f aca="false">$J$3*EXP(-$E$1*B697*86.4/$G$1)</f>
        <v>140.753616190152</v>
      </c>
      <c r="K697" s="0" t="n">
        <f aca="false">J696-J697</f>
        <v>0.39823066842456</v>
      </c>
    </row>
    <row r="698" customFormat="false" ht="12.8" hidden="false" customHeight="false" outlineLevel="0" collapsed="false">
      <c r="A698" s="0" t="n">
        <v>1</v>
      </c>
      <c r="B698" s="0" t="n">
        <f aca="false">B697+A698</f>
        <v>695</v>
      </c>
      <c r="C698" s="0" t="n">
        <f aca="false">$C$3+($G$1/($E$1*86.4))*SINH($E$1*B698*86.4/$G$1)</f>
        <v>45840.0469754921</v>
      </c>
      <c r="D698" s="0" t="n">
        <f aca="false">C698-$C$3-B698</f>
        <v>541.046975492092</v>
      </c>
      <c r="E698" s="0" t="n">
        <f aca="false">$E$1*B698*86.4</f>
        <v>589070.88</v>
      </c>
      <c r="F698" s="0" t="n">
        <f aca="false">$G$1*G698</f>
        <v>288408.384463114</v>
      </c>
      <c r="G698" s="0" t="n">
        <f aca="false">TANH($E$1*B698*86.4/$G$1)</f>
        <v>0.961361281543715</v>
      </c>
      <c r="H698" s="0" t="n">
        <f aca="false">COSH($E$1*B698*86.4/$G$1)</f>
        <v>3.63253530796529</v>
      </c>
      <c r="I698" s="0" t="n">
        <f aca="false">(($G$1^2*1000)/($E$1*$I$1))*(H698-1)</f>
        <v>2.55281795123838</v>
      </c>
      <c r="J698" s="0" t="n">
        <f aca="false">$J$3*EXP(-$E$1*B698*86.4/$G$1)</f>
        <v>140.356509046987</v>
      </c>
      <c r="K698" s="0" t="n">
        <f aca="false">J697-J698</f>
        <v>0.397107143165755</v>
      </c>
    </row>
    <row r="699" customFormat="false" ht="12.8" hidden="false" customHeight="false" outlineLevel="0" collapsed="false">
      <c r="A699" s="0" t="n">
        <v>1</v>
      </c>
      <c r="B699" s="0" t="n">
        <f aca="false">B698+A699</f>
        <v>696</v>
      </c>
      <c r="C699" s="0" t="n">
        <f aca="false">$C$3+($G$1/($E$1*86.4))*SINH($E$1*B699*86.4/$G$1)</f>
        <v>45843.6844488274</v>
      </c>
      <c r="D699" s="0" t="n">
        <f aca="false">C699-$C$3-B699</f>
        <v>543.684448827407</v>
      </c>
      <c r="E699" s="0" t="n">
        <f aca="false">$E$1*B699*86.4</f>
        <v>589918.464</v>
      </c>
      <c r="F699" s="0" t="n">
        <f aca="false">$G$1*G699</f>
        <v>288472.444017642</v>
      </c>
      <c r="G699" s="0" t="n">
        <f aca="false">TANH($E$1*B699*86.4/$G$1)</f>
        <v>0.96157481339214</v>
      </c>
      <c r="H699" s="0" t="n">
        <f aca="false">COSH($E$1*B699*86.4/$G$1)</f>
        <v>3.64241620184239</v>
      </c>
      <c r="I699" s="0" t="n">
        <f aca="false">(($G$1^2*1000)/($E$1*$I$1))*(H699-1)</f>
        <v>2.56239963593124</v>
      </c>
      <c r="J699" s="0" t="n">
        <f aca="false">$J$3*EXP(-$E$1*B699*86.4/$G$1)</f>
        <v>139.960522259286</v>
      </c>
      <c r="K699" s="0" t="n">
        <f aca="false">J698-J699</f>
        <v>0.395986787700451</v>
      </c>
    </row>
    <row r="700" customFormat="false" ht="12.8" hidden="false" customHeight="false" outlineLevel="0" collapsed="false">
      <c r="A700" s="0" t="n">
        <v>1</v>
      </c>
      <c r="B700" s="0" t="n">
        <f aca="false">B699+A700</f>
        <v>697</v>
      </c>
      <c r="C700" s="0" t="n">
        <f aca="false">$C$3+($G$1/($E$1*86.4))*SINH($E$1*B700*86.4/$G$1)</f>
        <v>45847.3318175873</v>
      </c>
      <c r="D700" s="0" t="n">
        <f aca="false">C700-$C$3-B700</f>
        <v>546.331817587292</v>
      </c>
      <c r="E700" s="0" t="n">
        <f aca="false">$E$1*B700*86.4</f>
        <v>590766.048</v>
      </c>
      <c r="F700" s="0" t="n">
        <f aca="false">$G$1*G700</f>
        <v>288536.156452618</v>
      </c>
      <c r="G700" s="0" t="n">
        <f aca="false">TANH($E$1*B700*86.4/$G$1)</f>
        <v>0.961787188175394</v>
      </c>
      <c r="H700" s="0" t="n">
        <f aca="false">COSH($E$1*B700*86.4/$G$1)</f>
        <v>3.65232617025922</v>
      </c>
      <c r="I700" s="0" t="n">
        <f aca="false">(($G$1^2*1000)/($E$1*$I$1))*(H700-1)</f>
        <v>2.57200951474051</v>
      </c>
      <c r="J700" s="0" t="n">
        <f aca="false">$J$3*EXP(-$E$1*B700*86.4/$G$1)</f>
        <v>139.5656526662</v>
      </c>
      <c r="K700" s="0" t="n">
        <f aca="false">J699-J700</f>
        <v>0.394869593085929</v>
      </c>
    </row>
    <row r="701" customFormat="false" ht="12.8" hidden="false" customHeight="false" outlineLevel="0" collapsed="false">
      <c r="A701" s="0" t="n">
        <v>1</v>
      </c>
      <c r="B701" s="0" t="n">
        <f aca="false">B700+A701</f>
        <v>698</v>
      </c>
      <c r="C701" s="0" t="n">
        <f aca="false">$C$3+($G$1/($E$1*86.4))*SINH($E$1*B701*86.4/$G$1)</f>
        <v>45850.9891108858</v>
      </c>
      <c r="D701" s="0" t="n">
        <f aca="false">C701-$C$3-B701</f>
        <v>548.989110885806</v>
      </c>
      <c r="E701" s="0" t="n">
        <f aca="false">$E$1*B701*86.4</f>
        <v>591613.632</v>
      </c>
      <c r="F701" s="0" t="n">
        <f aca="false">$G$1*G701</f>
        <v>288599.523572936</v>
      </c>
      <c r="G701" s="0" t="n">
        <f aca="false">TANH($E$1*B701*86.4/$G$1)</f>
        <v>0.961998411909788</v>
      </c>
      <c r="H701" s="0" t="n">
        <f aca="false">COSH($E$1*B701*86.4/$G$1)</f>
        <v>3.66226529231925</v>
      </c>
      <c r="I701" s="0" t="n">
        <f aca="false">(($G$1^2*1000)/($E$1*$I$1))*(H701-1)</f>
        <v>2.5816476643743</v>
      </c>
      <c r="J701" s="0" t="n">
        <f aca="false">$J$3*EXP(-$E$1*B701*86.4/$G$1)</f>
        <v>139.171897115796</v>
      </c>
      <c r="K701" s="0" t="n">
        <f aca="false">J700-J701</f>
        <v>0.393755550404165</v>
      </c>
    </row>
    <row r="702" customFormat="false" ht="12.8" hidden="false" customHeight="false" outlineLevel="0" collapsed="false">
      <c r="A702" s="0" t="n">
        <v>1</v>
      </c>
      <c r="B702" s="0" t="n">
        <f aca="false">B701+A702</f>
        <v>699</v>
      </c>
      <c r="C702" s="0" t="n">
        <f aca="false">$C$3+($G$1/($E$1*86.4))*SINH($E$1*B702*86.4/$G$1)</f>
        <v>45854.6563579163</v>
      </c>
      <c r="D702" s="0" t="n">
        <f aca="false">C702-$C$3-B702</f>
        <v>551.656357916254</v>
      </c>
      <c r="E702" s="0" t="n">
        <f aca="false">$E$1*B702*86.4</f>
        <v>592461.216</v>
      </c>
      <c r="F702" s="0" t="n">
        <f aca="false">$G$1*G702</f>
        <v>288662.547174945</v>
      </c>
      <c r="G702" s="0" t="n">
        <f aca="false">TANH($E$1*B702*86.4/$G$1)</f>
        <v>0.962208490583149</v>
      </c>
      <c r="H702" s="0" t="n">
        <f aca="false">COSH($E$1*B702*86.4/$G$1)</f>
        <v>3.67223364735866</v>
      </c>
      <c r="I702" s="0" t="n">
        <f aca="false">(($G$1^2*1000)/($E$1*$I$1))*(H702-1)</f>
        <v>2.59131416176635</v>
      </c>
      <c r="J702" s="0" t="n">
        <f aca="false">$J$3*EXP(-$E$1*B702*86.4/$G$1)</f>
        <v>138.779252465033</v>
      </c>
      <c r="K702" s="0" t="n">
        <f aca="false">J701-J702</f>
        <v>0.392644650763003</v>
      </c>
    </row>
    <row r="703" customFormat="false" ht="12.8" hidden="false" customHeight="false" outlineLevel="0" collapsed="false">
      <c r="A703" s="0" t="n">
        <v>1</v>
      </c>
      <c r="B703" s="0" t="n">
        <f aca="false">B702+A703</f>
        <v>700</v>
      </c>
      <c r="C703" s="0" t="n">
        <f aca="false">$C$3+($G$1/($E$1*86.4))*SINH($E$1*B703*86.4/$G$1)</f>
        <v>45858.3335879514</v>
      </c>
      <c r="D703" s="0" t="n">
        <f aca="false">C703-$C$3-B703</f>
        <v>554.333587951369</v>
      </c>
      <c r="E703" s="0" t="n">
        <f aca="false">$E$1*B703*86.4</f>
        <v>593308.8</v>
      </c>
      <c r="F703" s="0" t="n">
        <f aca="false">$G$1*G703</f>
        <v>288725.229046476</v>
      </c>
      <c r="G703" s="0" t="n">
        <f aca="false">TANH($E$1*B703*86.4/$G$1)</f>
        <v>0.962417430154919</v>
      </c>
      <c r="H703" s="0" t="n">
        <f aca="false">COSH($E$1*B703*86.4/$G$1)</f>
        <v>3.68223131494699</v>
      </c>
      <c r="I703" s="0" t="n">
        <f aca="false">(($G$1^2*1000)/($E$1*$I$1))*(H703-1)</f>
        <v>2.60100908407671</v>
      </c>
      <c r="J703" s="0" t="n">
        <f aca="false">$J$3*EXP(-$E$1*B703*86.4/$G$1)</f>
        <v>138.387715579738</v>
      </c>
      <c r="K703" s="0" t="n">
        <f aca="false">J702-J703</f>
        <v>0.391536885294727</v>
      </c>
    </row>
    <row r="704" customFormat="false" ht="12.8" hidden="false" customHeight="false" outlineLevel="0" collapsed="false">
      <c r="A704" s="0" t="n">
        <v>1</v>
      </c>
      <c r="B704" s="0" t="n">
        <f aca="false">B703+A704</f>
        <v>701</v>
      </c>
      <c r="C704" s="0" t="n">
        <f aca="false">$C$3+($G$1/($E$1*86.4))*SINH($E$1*B704*86.4/$G$1)</f>
        <v>45862.0208303436</v>
      </c>
      <c r="D704" s="0" t="n">
        <f aca="false">C704-$C$3-B704</f>
        <v>557.020830343594</v>
      </c>
      <c r="E704" s="0" t="n">
        <f aca="false">$E$1*B704*86.4</f>
        <v>594156.384</v>
      </c>
      <c r="F704" s="0" t="n">
        <f aca="false">$G$1*G704</f>
        <v>288787.570966879</v>
      </c>
      <c r="G704" s="0" t="n">
        <f aca="false">TANH($E$1*B704*86.4/$G$1)</f>
        <v>0.962625236556264</v>
      </c>
      <c r="H704" s="0" t="n">
        <f aca="false">COSH($E$1*B704*86.4/$G$1)</f>
        <v>3.69225837488773</v>
      </c>
      <c r="I704" s="0" t="n">
        <f aca="false">(($G$1^2*1000)/($E$1*$I$1))*(H704-1)</f>
        <v>2.6107325086923</v>
      </c>
      <c r="J704" s="0" t="n">
        <f aca="false">$J$3*EXP(-$E$1*B704*86.4/$G$1)</f>
        <v>137.997283334581</v>
      </c>
      <c r="K704" s="0" t="n">
        <f aca="false">J703-J704</f>
        <v>0.390432245157143</v>
      </c>
    </row>
    <row r="705" customFormat="false" ht="12.8" hidden="false" customHeight="false" outlineLevel="0" collapsed="false">
      <c r="A705" s="0" t="n">
        <v>1</v>
      </c>
      <c r="B705" s="0" t="n">
        <f aca="false">B704+A705</f>
        <v>702</v>
      </c>
      <c r="C705" s="0" t="n">
        <f aca="false">$C$3+($G$1/($E$1*86.4))*SINH($E$1*B705*86.4/$G$1)</f>
        <v>45865.7181145253</v>
      </c>
      <c r="D705" s="0" t="n">
        <f aca="false">C705-$C$3-B705</f>
        <v>559.718114525276</v>
      </c>
      <c r="E705" s="0" t="n">
        <f aca="false">$E$1*B705*86.4</f>
        <v>595003.968</v>
      </c>
      <c r="F705" s="0" t="n">
        <f aca="false">$G$1*G705</f>
        <v>288849.574707052</v>
      </c>
      <c r="G705" s="0" t="n">
        <f aca="false">TANH($E$1*B705*86.4/$G$1)</f>
        <v>0.962831915690172</v>
      </c>
      <c r="H705" s="0" t="n">
        <f aca="false">COSH($E$1*B705*86.4/$G$1)</f>
        <v>3.70231490721902</v>
      </c>
      <c r="I705" s="0" t="n">
        <f aca="false">(($G$1^2*1000)/($E$1*$I$1))*(H705-1)</f>
        <v>2.62048451322756</v>
      </c>
      <c r="J705" s="0" t="n">
        <f aca="false">$J$3*EXP(-$E$1*B705*86.4/$G$1)</f>
        <v>137.607952613049</v>
      </c>
      <c r="K705" s="0" t="n">
        <f aca="false">J704-J705</f>
        <v>0.389330721532588</v>
      </c>
    </row>
    <row r="706" customFormat="false" ht="12.8" hidden="false" customHeight="false" outlineLevel="0" collapsed="false">
      <c r="A706" s="0" t="n">
        <v>1</v>
      </c>
      <c r="B706" s="0" t="n">
        <f aca="false">B705+A706</f>
        <v>703</v>
      </c>
      <c r="C706" s="0" t="n">
        <f aca="false">$C$3+($G$1/($E$1*86.4))*SINH($E$1*B706*86.4/$G$1)</f>
        <v>45869.4254700089</v>
      </c>
      <c r="D706" s="0" t="n">
        <f aca="false">C706-$C$3-B706</f>
        <v>562.425470008915</v>
      </c>
      <c r="E706" s="0" t="n">
        <f aca="false">$E$1*B706*86.4</f>
        <v>595851.552</v>
      </c>
      <c r="F706" s="0" t="n">
        <f aca="false">$G$1*G706</f>
        <v>288911.242029468</v>
      </c>
      <c r="G706" s="0" t="n">
        <f aca="false">TANH($E$1*B706*86.4/$G$1)</f>
        <v>0.96303747343156</v>
      </c>
      <c r="H706" s="0" t="n">
        <f aca="false">COSH($E$1*B706*86.4/$G$1)</f>
        <v>3.71240099221422</v>
      </c>
      <c r="I706" s="0" t="n">
        <f aca="false">(($G$1^2*1000)/($E$1*$I$1))*(H706-1)</f>
        <v>2.63026517552506</v>
      </c>
      <c r="J706" s="0" t="n">
        <f aca="false">$J$3*EXP(-$E$1*B706*86.4/$G$1)</f>
        <v>137.21972030742</v>
      </c>
      <c r="K706" s="0" t="n">
        <f aca="false">J705-J706</f>
        <v>0.388232305628463</v>
      </c>
    </row>
    <row r="707" customFormat="false" ht="12.8" hidden="false" customHeight="false" outlineLevel="0" collapsed="false">
      <c r="A707" s="0" t="n">
        <v>1</v>
      </c>
      <c r="B707" s="0" t="n">
        <f aca="false">B706+A707</f>
        <v>704</v>
      </c>
      <c r="C707" s="0" t="n">
        <f aca="false">$C$3+($G$1/($E$1*86.4))*SINH($E$1*B707*86.4/$G$1)</f>
        <v>45873.1429263874</v>
      </c>
      <c r="D707" s="0" t="n">
        <f aca="false">C707-$C$3-B707</f>
        <v>565.142926387423</v>
      </c>
      <c r="E707" s="0" t="n">
        <f aca="false">$E$1*B707*86.4</f>
        <v>596699.136</v>
      </c>
      <c r="F707" s="0" t="n">
        <f aca="false">$G$1*G707</f>
        <v>288972.574688213</v>
      </c>
      <c r="G707" s="0" t="n">
        <f aca="false">TANH($E$1*B707*86.4/$G$1)</f>
        <v>0.963241915627377</v>
      </c>
      <c r="H707" s="0" t="n">
        <f aca="false">COSH($E$1*B707*86.4/$G$1)</f>
        <v>3.72251671038261</v>
      </c>
      <c r="I707" s="0" t="n">
        <f aca="false">(($G$1^2*1000)/($E$1*$I$1))*(H707-1)</f>
        <v>2.64007457365613</v>
      </c>
      <c r="J707" s="0" t="n">
        <f aca="false">$J$3*EXP(-$E$1*B707*86.4/$G$1)</f>
        <v>136.832583318743</v>
      </c>
      <c r="K707" s="0" t="n">
        <f aca="false">J706-J707</f>
        <v>0.387136988677213</v>
      </c>
    </row>
    <row r="708" customFormat="false" ht="12.8" hidden="false" customHeight="false" outlineLevel="0" collapsed="false">
      <c r="A708" s="0" t="n">
        <v>1</v>
      </c>
      <c r="B708" s="0" t="n">
        <f aca="false">B707+A708</f>
        <v>705</v>
      </c>
      <c r="C708" s="0" t="n">
        <f aca="false">$C$3+($G$1/($E$1*86.4))*SINH($E$1*B708*86.4/$G$1)</f>
        <v>45876.8705133343</v>
      </c>
      <c r="D708" s="0" t="n">
        <f aca="false">C708-$C$3-B708</f>
        <v>567.870513334317</v>
      </c>
      <c r="E708" s="0" t="n">
        <f aca="false">$E$1*B708*86.4</f>
        <v>597546.72</v>
      </c>
      <c r="F708" s="0" t="n">
        <f aca="false">$G$1*G708</f>
        <v>289033.574429012</v>
      </c>
      <c r="G708" s="0" t="n">
        <f aca="false">TANH($E$1*B708*86.4/$G$1)</f>
        <v>0.963445248096706</v>
      </c>
      <c r="H708" s="0" t="n">
        <f aca="false">COSH($E$1*B708*86.4/$G$1)</f>
        <v>3.73266214247</v>
      </c>
      <c r="I708" s="0" t="n">
        <f aca="false">(($G$1^2*1000)/($E$1*$I$1))*(H708-1)</f>
        <v>2.64991278592147</v>
      </c>
      <c r="J708" s="0" t="n">
        <f aca="false">$J$3*EXP(-$E$1*B708*86.4/$G$1)</f>
        <v>136.446538556807</v>
      </c>
      <c r="K708" s="0" t="n">
        <f aca="false">J707-J708</f>
        <v>0.386044761935523</v>
      </c>
    </row>
    <row r="709" customFormat="false" ht="12.8" hidden="false" customHeight="false" outlineLevel="0" collapsed="false">
      <c r="A709" s="0" t="n">
        <v>1</v>
      </c>
      <c r="B709" s="0" t="n">
        <f aca="false">B708+A709</f>
        <v>706</v>
      </c>
      <c r="C709" s="0" t="n">
        <f aca="false">$C$3+($G$1/($E$1*86.4))*SINH($E$1*B709*86.4/$G$1)</f>
        <v>45880.608260604</v>
      </c>
      <c r="D709" s="0" t="n">
        <f aca="false">C709-$C$3-B709</f>
        <v>570.608260603993</v>
      </c>
      <c r="E709" s="0" t="n">
        <f aca="false">$E$1*B709*86.4</f>
        <v>598394.304</v>
      </c>
      <c r="F709" s="0" t="n">
        <f aca="false">$G$1*G709</f>
        <v>289094.242989261</v>
      </c>
      <c r="G709" s="0" t="n">
        <f aca="false">TANH($E$1*B709*86.4/$G$1)</f>
        <v>0.963647476630871</v>
      </c>
      <c r="H709" s="0" t="n">
        <f aca="false">COSH($E$1*B709*86.4/$G$1)</f>
        <v>3.74283736945938</v>
      </c>
      <c r="I709" s="0" t="n">
        <f aca="false">(($G$1^2*1000)/($E$1*$I$1))*(H709-1)</f>
        <v>2.65977989085177</v>
      </c>
      <c r="J709" s="0" t="n">
        <f aca="false">$J$3*EXP(-$E$1*B709*86.4/$G$1)</f>
        <v>136.061582940122</v>
      </c>
      <c r="K709" s="0" t="n">
        <f aca="false">J708-J709</f>
        <v>0.384955616685204</v>
      </c>
    </row>
    <row r="710" customFormat="false" ht="12.8" hidden="false" customHeight="false" outlineLevel="0" collapsed="false">
      <c r="A710" s="0" t="n">
        <v>1</v>
      </c>
      <c r="B710" s="0" t="n">
        <f aca="false">B709+A710</f>
        <v>707</v>
      </c>
      <c r="C710" s="0" t="n">
        <f aca="false">$C$3+($G$1/($E$1*86.4))*SINH($E$1*B710*86.4/$G$1)</f>
        <v>45884.3561980319</v>
      </c>
      <c r="D710" s="0" t="n">
        <f aca="false">C710-$C$3-B710</f>
        <v>573.356198031943</v>
      </c>
      <c r="E710" s="0" t="n">
        <f aca="false">$E$1*B710*86.4</f>
        <v>599241.888</v>
      </c>
      <c r="F710" s="0" t="n">
        <f aca="false">$G$1*G710</f>
        <v>289154.582098061</v>
      </c>
      <c r="G710" s="0" t="n">
        <f aca="false">TANH($E$1*B710*86.4/$G$1)</f>
        <v>0.963848606993535</v>
      </c>
      <c r="H710" s="0" t="n">
        <f aca="false">COSH($E$1*B710*86.4/$G$1)</f>
        <v>3.75304247257158</v>
      </c>
      <c r="I710" s="0" t="n">
        <f aca="false">(($G$1^2*1000)/($E$1*$I$1))*(H710-1)</f>
        <v>2.66967596720837</v>
      </c>
      <c r="J710" s="0" t="n">
        <f aca="false">$J$3*EXP(-$E$1*B710*86.4/$G$1)</f>
        <v>135.67771339589</v>
      </c>
      <c r="K710" s="0" t="n">
        <f aca="false">J709-J710</f>
        <v>0.383869544232226</v>
      </c>
    </row>
    <row r="711" customFormat="false" ht="12.8" hidden="false" customHeight="false" outlineLevel="0" collapsed="false">
      <c r="A711" s="0" t="n">
        <v>1</v>
      </c>
      <c r="B711" s="0" t="n">
        <f aca="false">B710+A711</f>
        <v>708</v>
      </c>
      <c r="C711" s="0" t="n">
        <f aca="false">$C$3+($G$1/($E$1*86.4))*SINH($E$1*B711*86.4/$G$1)</f>
        <v>45888.114355535</v>
      </c>
      <c r="D711" s="0" t="n">
        <f aca="false">C711-$C$3-B711</f>
        <v>576.114355534999</v>
      </c>
      <c r="E711" s="0" t="n">
        <f aca="false">$E$1*B711*86.4</f>
        <v>600089.472</v>
      </c>
      <c r="F711" s="0" t="n">
        <f aca="false">$G$1*G711</f>
        <v>289214.593476243</v>
      </c>
      <c r="G711" s="0" t="n">
        <f aca="false">TANH($E$1*B711*86.4/$G$1)</f>
        <v>0.96404864492081</v>
      </c>
      <c r="H711" s="0" t="n">
        <f aca="false">COSH($E$1*B711*86.4/$G$1)</f>
        <v>3.7632775332659</v>
      </c>
      <c r="I711" s="0" t="n">
        <f aca="false">(($G$1^2*1000)/($E$1*$I$1))*(H711-1)</f>
        <v>2.67960109398385</v>
      </c>
      <c r="J711" s="0" t="n">
        <f aca="false">$J$3*EXP(-$E$1*B711*86.4/$G$1)</f>
        <v>135.294926859982</v>
      </c>
      <c r="K711" s="0" t="n">
        <f aca="false">J710-J711</f>
        <v>0.382786535907684</v>
      </c>
    </row>
    <row r="712" customFormat="false" ht="12.8" hidden="false" customHeight="false" outlineLevel="0" collapsed="false">
      <c r="A712" s="0" t="n">
        <v>1</v>
      </c>
      <c r="B712" s="0" t="n">
        <f aca="false">B711+A712</f>
        <v>709</v>
      </c>
      <c r="C712" s="0" t="n">
        <f aca="false">$C$3+($G$1/($E$1*86.4))*SINH($E$1*B712*86.4/$G$1)</f>
        <v>45891.8827631116</v>
      </c>
      <c r="D712" s="0" t="n">
        <f aca="false">C712-$C$3-B712</f>
        <v>578.882763111564</v>
      </c>
      <c r="E712" s="0" t="n">
        <f aca="false">$E$1*B712*86.4</f>
        <v>600937.056</v>
      </c>
      <c r="F712" s="0" t="n">
        <f aca="false">$G$1*G712</f>
        <v>289274.278836406</v>
      </c>
      <c r="G712" s="0" t="n">
        <f aca="false">TANH($E$1*B712*86.4/$G$1)</f>
        <v>0.964247596121353</v>
      </c>
      <c r="H712" s="0" t="n">
        <f aca="false">COSH($E$1*B712*86.4/$G$1)</f>
        <v>3.77354263324076</v>
      </c>
      <c r="I712" s="0" t="n">
        <f aca="false">(($G$1^2*1000)/($E$1*$I$1))*(H712-1)</f>
        <v>2.68955535040267</v>
      </c>
      <c r="J712" s="0" t="n">
        <f aca="false">$J$3*EXP(-$E$1*B712*86.4/$G$1)</f>
        <v>134.913220276916</v>
      </c>
      <c r="K712" s="0" t="n">
        <f aca="false">J711-J712</f>
        <v>0.381706583066375</v>
      </c>
    </row>
    <row r="713" customFormat="false" ht="12.8" hidden="false" customHeight="false" outlineLevel="0" collapsed="false">
      <c r="A713" s="0" t="n">
        <v>1</v>
      </c>
      <c r="B713" s="0" t="n">
        <f aca="false">B712+A713</f>
        <v>710</v>
      </c>
      <c r="C713" s="0" t="n">
        <f aca="false">$C$3+($G$1/($E$1*86.4))*SINH($E$1*B713*86.4/$G$1)</f>
        <v>45895.6614508419</v>
      </c>
      <c r="D713" s="0" t="n">
        <f aca="false">C713-$C$3-B713</f>
        <v>581.661450841879</v>
      </c>
      <c r="E713" s="0" t="n">
        <f aca="false">$E$1*B713*86.4</f>
        <v>601784.64</v>
      </c>
      <c r="F713" s="0" t="n">
        <f aca="false">$G$1*G713</f>
        <v>289333.639882943</v>
      </c>
      <c r="G713" s="0" t="n">
        <f aca="false">TANH($E$1*B713*86.4/$G$1)</f>
        <v>0.964445466276478</v>
      </c>
      <c r="H713" s="0" t="n">
        <f aca="false">COSH($E$1*B713*86.4/$G$1)</f>
        <v>3.78383785443438</v>
      </c>
      <c r="I713" s="0" t="n">
        <f aca="false">(($G$1^2*1000)/($E$1*$I$1))*(H713-1)</f>
        <v>2.69953881592183</v>
      </c>
      <c r="J713" s="0" t="n">
        <f aca="false">$J$3*EXP(-$E$1*B713*86.4/$G$1)</f>
        <v>134.532590599828</v>
      </c>
      <c r="K713" s="0" t="n">
        <f aca="false">J712-J713</f>
        <v>0.380629677088223</v>
      </c>
    </row>
    <row r="714" customFormat="false" ht="12.8" hidden="false" customHeight="false" outlineLevel="0" collapsed="false">
      <c r="A714" s="0" t="n">
        <v>1</v>
      </c>
      <c r="B714" s="0" t="n">
        <f aca="false">B713+A714</f>
        <v>711</v>
      </c>
      <c r="C714" s="0" t="n">
        <f aca="false">$C$3+($G$1/($E$1*86.4))*SINH($E$1*B714*86.4/$G$1)</f>
        <v>45899.4504488882</v>
      </c>
      <c r="D714" s="0" t="n">
        <f aca="false">C714-$C$3-B714</f>
        <v>584.45044888823</v>
      </c>
      <c r="E714" s="0" t="n">
        <f aca="false">$E$1*B714*86.4</f>
        <v>602632.224</v>
      </c>
      <c r="F714" s="0" t="n">
        <f aca="false">$G$1*G714</f>
        <v>289392.678312075</v>
      </c>
      <c r="G714" s="0" t="n">
        <f aca="false">TANH($E$1*B714*86.4/$G$1)</f>
        <v>0.96464226104025</v>
      </c>
      <c r="H714" s="0" t="n">
        <f aca="false">COSH($E$1*B714*86.4/$G$1)</f>
        <v>3.7941632790254</v>
      </c>
      <c r="I714" s="0" t="n">
        <f aca="false">(($G$1^2*1000)/($E$1*$I$1))*(H714-1)</f>
        <v>2.70955157023146</v>
      </c>
      <c r="J714" s="0" t="n">
        <f aca="false">$J$3*EXP(-$E$1*B714*86.4/$G$1)</f>
        <v>134.153034790451</v>
      </c>
      <c r="K714" s="0" t="n">
        <f aca="false">J713-J714</f>
        <v>0.379555809377024</v>
      </c>
    </row>
    <row r="715" customFormat="false" ht="12.8" hidden="false" customHeight="false" outlineLevel="0" collapsed="false">
      <c r="A715" s="0" t="n">
        <v>1</v>
      </c>
      <c r="B715" s="0" t="n">
        <f aca="false">B714+A715</f>
        <v>712</v>
      </c>
      <c r="C715" s="0" t="n">
        <f aca="false">$C$3+($G$1/($E$1*86.4))*SINH($E$1*B715*86.4/$G$1)</f>
        <v>45903.2497874952</v>
      </c>
      <c r="D715" s="0" t="n">
        <f aca="false">C715-$C$3-B715</f>
        <v>587.249787495202</v>
      </c>
      <c r="E715" s="0" t="n">
        <f aca="false">$E$1*B715*86.4</f>
        <v>603479.808</v>
      </c>
      <c r="F715" s="0" t="n">
        <f aca="false">$G$1*G715</f>
        <v>289451.395811878</v>
      </c>
      <c r="G715" s="0" t="n">
        <f aca="false">TANH($E$1*B715*86.4/$G$1)</f>
        <v>0.964837986039595</v>
      </c>
      <c r="H715" s="0" t="n">
        <f aca="false">COSH($E$1*B715*86.4/$G$1)</f>
        <v>3.80451898943354</v>
      </c>
      <c r="I715" s="0" t="n">
        <f aca="false">(($G$1^2*1000)/($E$1*$I$1))*(H715-1)</f>
        <v>2.71959369325551</v>
      </c>
      <c r="J715" s="0" t="n">
        <f aca="false">$J$3*EXP(-$E$1*B715*86.4/$G$1)</f>
        <v>133.77454981909</v>
      </c>
      <c r="K715" s="0" t="n">
        <f aca="false">J714-J715</f>
        <v>0.378484971360678</v>
      </c>
    </row>
    <row r="716" customFormat="false" ht="12.8" hidden="false" customHeight="false" outlineLevel="0" collapsed="false">
      <c r="A716" s="0" t="n">
        <v>1</v>
      </c>
      <c r="B716" s="0" t="n">
        <f aca="false">B715+A716</f>
        <v>713</v>
      </c>
      <c r="C716" s="0" t="n">
        <f aca="false">$C$3+($G$1/($E$1*86.4))*SINH($E$1*B716*86.4/$G$1)</f>
        <v>45907.0594969899</v>
      </c>
      <c r="D716" s="0" t="n">
        <f aca="false">C716-$C$3-B716</f>
        <v>590.059496989925</v>
      </c>
      <c r="E716" s="0" t="n">
        <f aca="false">$E$1*B716*86.4</f>
        <v>604327.392</v>
      </c>
      <c r="F716" s="0" t="n">
        <f aca="false">$G$1*G716</f>
        <v>289509.79406232</v>
      </c>
      <c r="G716" s="0" t="n">
        <f aca="false">TANH($E$1*B716*86.4/$G$1)</f>
        <v>0.9650326468744</v>
      </c>
      <c r="H716" s="0" t="n">
        <f aca="false">COSH($E$1*B716*86.4/$G$1)</f>
        <v>3.81490506832029</v>
      </c>
      <c r="I716" s="0" t="n">
        <f aca="false">(($G$1^2*1000)/($E$1*$I$1))*(H716-1)</f>
        <v>2.72966526515232</v>
      </c>
      <c r="J716" s="0" t="n">
        <f aca="false">$J$3*EXP(-$E$1*B716*86.4/$G$1)</f>
        <v>133.397132664598</v>
      </c>
      <c r="K716" s="0" t="n">
        <f aca="false">J715-J716</f>
        <v>0.377417154492008</v>
      </c>
    </row>
    <row r="717" customFormat="false" ht="12.8" hidden="false" customHeight="false" outlineLevel="0" collapsed="false">
      <c r="A717" s="0" t="n">
        <v>1</v>
      </c>
      <c r="B717" s="0" t="n">
        <f aca="false">B716+A717</f>
        <v>714</v>
      </c>
      <c r="C717" s="0" t="n">
        <f aca="false">$C$3+($G$1/($E$1*86.4))*SINH($E$1*B717*86.4/$G$1)</f>
        <v>45910.8796077823</v>
      </c>
      <c r="D717" s="0" t="n">
        <f aca="false">C717-$C$3-B717</f>
        <v>592.879607782299</v>
      </c>
      <c r="E717" s="0" t="n">
        <f aca="false">$E$1*B717*86.4</f>
        <v>605174.976</v>
      </c>
      <c r="F717" s="0" t="n">
        <f aca="false">$G$1*G717</f>
        <v>289567.874735285</v>
      </c>
      <c r="G717" s="0" t="n">
        <f aca="false">TANH($E$1*B717*86.4/$G$1)</f>
        <v>0.965226249117617</v>
      </c>
      <c r="H717" s="0" t="n">
        <f aca="false">COSH($E$1*B717*86.4/$G$1)</f>
        <v>3.82532159858953</v>
      </c>
      <c r="I717" s="0" t="n">
        <f aca="false">(($G$1^2*1000)/($E$1*$I$1))*(H717-1)</f>
        <v>2.73976636631533</v>
      </c>
      <c r="J717" s="0" t="n">
        <f aca="false">$J$3*EXP(-$E$1*B717*86.4/$G$1)</f>
        <v>133.020780314351</v>
      </c>
      <c r="K717" s="0" t="n">
        <f aca="false">J716-J717</f>
        <v>0.376352350247061</v>
      </c>
    </row>
    <row r="718" customFormat="false" ht="12.8" hidden="false" customHeight="false" outlineLevel="0" collapsed="false">
      <c r="A718" s="0" t="n">
        <v>1</v>
      </c>
      <c r="B718" s="0" t="n">
        <f aca="false">B717+A718</f>
        <v>715</v>
      </c>
      <c r="C718" s="0" t="n">
        <f aca="false">$C$3+($G$1/($E$1*86.4))*SINH($E$1*B718*86.4/$G$1)</f>
        <v>45914.7101503653</v>
      </c>
      <c r="D718" s="0" t="n">
        <f aca="false">C718-$C$3-B718</f>
        <v>595.710150365274</v>
      </c>
      <c r="E718" s="0" t="n">
        <f aca="false">$E$1*B718*86.4</f>
        <v>606022.56</v>
      </c>
      <c r="F718" s="0" t="n">
        <f aca="false">$G$1*G718</f>
        <v>289625.63949461</v>
      </c>
      <c r="G718" s="0" t="n">
        <f aca="false">TANH($E$1*B718*86.4/$G$1)</f>
        <v>0.965418798315367</v>
      </c>
      <c r="H718" s="0" t="n">
        <f aca="false">COSH($E$1*B718*86.4/$G$1)</f>
        <v>3.83576866338823</v>
      </c>
      <c r="I718" s="0" t="n">
        <f aca="false">(($G$1^2*1000)/($E$1*$I$1))*(H718-1)</f>
        <v>2.74989707737367</v>
      </c>
      <c r="J718" s="0" t="n">
        <f aca="false">$J$3*EXP(-$E$1*B718*86.4/$G$1)</f>
        <v>132.645489764224</v>
      </c>
      <c r="K718" s="0" t="n">
        <f aca="false">J717-J718</f>
        <v>0.375290550126607</v>
      </c>
    </row>
    <row r="719" customFormat="false" ht="12.8" hidden="false" customHeight="false" outlineLevel="0" collapsed="false">
      <c r="A719" s="0" t="n">
        <v>1</v>
      </c>
      <c r="B719" s="0" t="n">
        <f aca="false">B718+A719</f>
        <v>716</v>
      </c>
      <c r="C719" s="0" t="n">
        <f aca="false">$C$3+($G$1/($E$1*86.4))*SINH($E$1*B719*86.4/$G$1)</f>
        <v>45918.5511553151</v>
      </c>
      <c r="D719" s="0" t="n">
        <f aca="false">C719-$C$3-B719</f>
        <v>598.55115531505</v>
      </c>
      <c r="E719" s="0" t="n">
        <f aca="false">$E$1*B719*86.4</f>
        <v>606870.144</v>
      </c>
      <c r="F719" s="0" t="n">
        <f aca="false">$G$1*G719</f>
        <v>289683.089996112</v>
      </c>
      <c r="G719" s="0" t="n">
        <f aca="false">TANH($E$1*B719*86.4/$G$1)</f>
        <v>0.965610299987039</v>
      </c>
      <c r="H719" s="0" t="n">
        <f aca="false">COSH($E$1*B719*86.4/$G$1)</f>
        <v>3.84624634610707</v>
      </c>
      <c r="I719" s="0" t="n">
        <f aca="false">(($G$1^2*1000)/($E$1*$I$1))*(H719-1)</f>
        <v>2.76005747919282</v>
      </c>
      <c r="J719" s="0" t="n">
        <f aca="false">$J$3*EXP(-$E$1*B719*86.4/$G$1)</f>
        <v>132.271258018569</v>
      </c>
      <c r="K719" s="0" t="n">
        <f aca="false">J718-J719</f>
        <v>0.374231745654924</v>
      </c>
    </row>
    <row r="720" customFormat="false" ht="12.8" hidden="false" customHeight="false" outlineLevel="0" collapsed="false">
      <c r="A720" s="0" t="n">
        <v>1</v>
      </c>
      <c r="B720" s="0" t="n">
        <f aca="false">B719+A720</f>
        <v>717</v>
      </c>
      <c r="C720" s="0" t="n">
        <f aca="false">$C$3+($G$1/($E$1*86.4))*SINH($E$1*B720*86.4/$G$1)</f>
        <v>45922.4026532913</v>
      </c>
      <c r="D720" s="0" t="n">
        <f aca="false">C720-$C$3-B720</f>
        <v>601.402653291341</v>
      </c>
      <c r="E720" s="0" t="n">
        <f aca="false">$E$1*B720*86.4</f>
        <v>607717.728</v>
      </c>
      <c r="F720" s="0" t="n">
        <f aca="false">$G$1*G720</f>
        <v>289740.227887619</v>
      </c>
      <c r="G720" s="0" t="n">
        <f aca="false">TANH($E$1*B720*86.4/$G$1)</f>
        <v>0.965800759625398</v>
      </c>
      <c r="H720" s="0" t="n">
        <f aca="false">COSH($E$1*B720*86.4/$G$1)</f>
        <v>3.85675473038114</v>
      </c>
      <c r="I720" s="0" t="n">
        <f aca="false">(($G$1^2*1000)/($E$1*$I$1))*(H720-1)</f>
        <v>2.77024765287527</v>
      </c>
      <c r="J720" s="0" t="n">
        <f aca="false">$J$3*EXP(-$E$1*B720*86.4/$G$1)</f>
        <v>131.898082090189</v>
      </c>
      <c r="K720" s="0" t="n">
        <f aca="false">J719-J720</f>
        <v>0.373175928380647</v>
      </c>
    </row>
    <row r="721" customFormat="false" ht="12.8" hidden="false" customHeight="false" outlineLevel="0" collapsed="false">
      <c r="A721" s="0" t="n">
        <v>1</v>
      </c>
      <c r="B721" s="0" t="n">
        <f aca="false">B720+A721</f>
        <v>718</v>
      </c>
      <c r="C721" s="0" t="n">
        <f aca="false">$C$3+($G$1/($E$1*86.4))*SINH($E$1*B721*86.4/$G$1)</f>
        <v>45926.2646750376</v>
      </c>
      <c r="D721" s="0" t="n">
        <f aca="false">C721-$C$3-B721</f>
        <v>604.264675037623</v>
      </c>
      <c r="E721" s="0" t="n">
        <f aca="false">$E$1*B721*86.4</f>
        <v>608565.312</v>
      </c>
      <c r="F721" s="0" t="n">
        <f aca="false">$G$1*G721</f>
        <v>289797.054809005</v>
      </c>
      <c r="G721" s="0" t="n">
        <f aca="false">TANH($E$1*B721*86.4/$G$1)</f>
        <v>0.965990182696683</v>
      </c>
      <c r="H721" s="0" t="n">
        <f aca="false">COSH($E$1*B721*86.4/$G$1)</f>
        <v>3.8672939000906</v>
      </c>
      <c r="I721" s="0" t="n">
        <f aca="false">(($G$1^2*1000)/($E$1*$I$1))*(H721-1)</f>
        <v>2.78046767976116</v>
      </c>
      <c r="J721" s="0" t="n">
        <f aca="false">$J$3*EXP(-$E$1*B721*86.4/$G$1)</f>
        <v>131.525959000313</v>
      </c>
      <c r="K721" s="0" t="n">
        <f aca="false">J720-J721</f>
        <v>0.372123089875799</v>
      </c>
    </row>
    <row r="722" customFormat="false" ht="12.8" hidden="false" customHeight="false" outlineLevel="0" collapsed="false">
      <c r="A722" s="0" t="n">
        <v>1</v>
      </c>
      <c r="B722" s="0" t="n">
        <f aca="false">B721+A722</f>
        <v>719</v>
      </c>
      <c r="C722" s="0" t="n">
        <f aca="false">$C$3+($G$1/($E$1*86.4))*SINH($E$1*B722*86.4/$G$1)</f>
        <v>45930.1372513814</v>
      </c>
      <c r="D722" s="0" t="n">
        <f aca="false">C722-$C$3-B722</f>
        <v>607.137251381369</v>
      </c>
      <c r="E722" s="0" t="n">
        <f aca="false">$E$1*B722*86.4</f>
        <v>609412.896</v>
      </c>
      <c r="F722" s="0" t="n">
        <f aca="false">$G$1*G722</f>
        <v>289853.572392214</v>
      </c>
      <c r="G722" s="0" t="n">
        <f aca="false">TANH($E$1*B722*86.4/$G$1)</f>
        <v>0.966178574640714</v>
      </c>
      <c r="H722" s="0" t="n">
        <f aca="false">COSH($E$1*B722*86.4/$G$1)</f>
        <v>3.87786393936133</v>
      </c>
      <c r="I722" s="0" t="n">
        <f aca="false">(($G$1^2*1000)/($E$1*$I$1))*(H722-1)</f>
        <v>2.79071764142891</v>
      </c>
      <c r="J722" s="0" t="n">
        <f aca="false">$J$3*EXP(-$E$1*B722*86.4/$G$1)</f>
        <v>131.154885778576</v>
      </c>
      <c r="K722" s="0" t="n">
        <f aca="false">J721-J722</f>
        <v>0.371073221736566</v>
      </c>
    </row>
    <row r="723" customFormat="false" ht="12.8" hidden="false" customHeight="false" outlineLevel="0" collapsed="false">
      <c r="A723" s="0" t="n">
        <v>1</v>
      </c>
      <c r="B723" s="0" t="n">
        <f aca="false">B722+A723</f>
        <v>720</v>
      </c>
      <c r="C723" s="0" t="n">
        <f aca="false">$C$3+($G$1/($E$1*86.4))*SINH($E$1*B723*86.4/$G$1)</f>
        <v>45934.0204132343</v>
      </c>
      <c r="D723" s="0" t="n">
        <f aca="false">C723-$C$3-B723</f>
        <v>610.020413234321</v>
      </c>
      <c r="E723" s="0" t="n">
        <f aca="false">$E$1*B723*86.4</f>
        <v>610260.48</v>
      </c>
      <c r="F723" s="0" t="n">
        <f aca="false">$G$1*G723</f>
        <v>289909.782261297</v>
      </c>
      <c r="G723" s="0" t="n">
        <f aca="false">TANH($E$1*B723*86.4/$G$1)</f>
        <v>0.96636594087099</v>
      </c>
      <c r="H723" s="0" t="n">
        <f aca="false">COSH($E$1*B723*86.4/$G$1)</f>
        <v>3.88846493256565</v>
      </c>
      <c r="I723" s="0" t="n">
        <f aca="false">(($G$1^2*1000)/($E$1*$I$1))*(H723-1)</f>
        <v>2.80099761969588</v>
      </c>
      <c r="J723" s="0" t="n">
        <f aca="false">$J$3*EXP(-$E$1*B723*86.4/$G$1)</f>
        <v>130.784859462994</v>
      </c>
      <c r="K723" s="0" t="n">
        <f aca="false">J722-J723</f>
        <v>0.37002631558255</v>
      </c>
    </row>
    <row r="724" customFormat="false" ht="12.8" hidden="false" customHeight="false" outlineLevel="0" collapsed="false">
      <c r="A724" s="0" t="n">
        <v>1</v>
      </c>
      <c r="B724" s="0" t="n">
        <f aca="false">B723+A724</f>
        <v>721</v>
      </c>
      <c r="C724" s="0" t="n">
        <f aca="false">$C$3+($G$1/($E$1*86.4))*SINH($E$1*B724*86.4/$G$1)</f>
        <v>45937.9141915927</v>
      </c>
      <c r="D724" s="0" t="n">
        <f aca="false">C724-$C$3-B724</f>
        <v>612.914191592681</v>
      </c>
      <c r="E724" s="0" t="n">
        <f aca="false">$E$1*B724*86.4</f>
        <v>611108.064</v>
      </c>
      <c r="F724" s="0" t="n">
        <f aca="false">$G$1*G724</f>
        <v>289965.686032439</v>
      </c>
      <c r="G724" s="0" t="n">
        <f aca="false">TANH($E$1*B724*86.4/$G$1)</f>
        <v>0.966552286774796</v>
      </c>
      <c r="H724" s="0" t="n">
        <f aca="false">COSH($E$1*B724*86.4/$G$1)</f>
        <v>3.89909696432291</v>
      </c>
      <c r="I724" s="0" t="n">
        <f aca="false">(($G$1^2*1000)/($E$1*$I$1))*(H724-1)</f>
        <v>2.81130769661905</v>
      </c>
      <c r="J724" s="0" t="n">
        <f aca="false">$J$3*EXP(-$E$1*B724*86.4/$G$1)</f>
        <v>130.415877099937</v>
      </c>
      <c r="K724" s="0" t="n">
        <f aca="false">J723-J724</f>
        <v>0.368982363057114</v>
      </c>
    </row>
    <row r="725" customFormat="false" ht="12.8" hidden="false" customHeight="false" outlineLevel="0" collapsed="false">
      <c r="A725" s="0" t="n">
        <v>1</v>
      </c>
      <c r="B725" s="0" t="n">
        <f aca="false">B724+A725</f>
        <v>722</v>
      </c>
      <c r="C725" s="0" t="n">
        <f aca="false">$C$3+($G$1/($E$1*86.4))*SINH($E$1*B725*86.4/$G$1)</f>
        <v>45941.8186175374</v>
      </c>
      <c r="D725" s="0" t="n">
        <f aca="false">C725-$C$3-B725</f>
        <v>615.818617537436</v>
      </c>
      <c r="E725" s="0" t="n">
        <f aca="false">$E$1*B725*86.4</f>
        <v>611955.648</v>
      </c>
      <c r="F725" s="0" t="n">
        <f aca="false">$G$1*G725</f>
        <v>290021.28531399</v>
      </c>
      <c r="G725" s="0" t="n">
        <f aca="false">TANH($E$1*B725*86.4/$G$1)</f>
        <v>0.966737617713301</v>
      </c>
      <c r="H725" s="0" t="n">
        <f aca="false">COSH($E$1*B725*86.4/$G$1)</f>
        <v>3.90976011950027</v>
      </c>
      <c r="I725" s="0" t="n">
        <f aca="false">(($G$1^2*1000)/($E$1*$I$1))*(H725-1)</f>
        <v>2.82164795449564</v>
      </c>
      <c r="J725" s="0" t="n">
        <f aca="false">$J$3*EXP(-$E$1*B725*86.4/$G$1)</f>
        <v>130.047935744109</v>
      </c>
      <c r="K725" s="0" t="n">
        <f aca="false">J724-J725</f>
        <v>0.367941355827384</v>
      </c>
    </row>
    <row r="726" customFormat="false" ht="12.8" hidden="false" customHeight="false" outlineLevel="0" collapsed="false">
      <c r="A726" s="0" t="n">
        <v>1</v>
      </c>
      <c r="B726" s="0" t="n">
        <f aca="false">B725+A726</f>
        <v>723</v>
      </c>
      <c r="C726" s="0" t="n">
        <f aca="false">$C$3+($G$1/($E$1*86.4))*SINH($E$1*B726*86.4/$G$1)</f>
        <v>45945.7337222345</v>
      </c>
      <c r="D726" s="0" t="n">
        <f aca="false">C726-$C$3-B726</f>
        <v>618.733722234523</v>
      </c>
      <c r="E726" s="0" t="n">
        <f aca="false">$E$1*B726*86.4</f>
        <v>612803.232</v>
      </c>
      <c r="F726" s="0" t="n">
        <f aca="false">$G$1*G726</f>
        <v>290076.581706499</v>
      </c>
      <c r="G726" s="0" t="n">
        <f aca="false">TANH($E$1*B726*86.4/$G$1)</f>
        <v>0.966921939021663</v>
      </c>
      <c r="H726" s="0" t="n">
        <f aca="false">COSH($E$1*B726*86.4/$G$1)</f>
        <v>3.92045448321329</v>
      </c>
      <c r="I726" s="0" t="n">
        <f aca="false">(($G$1^2*1000)/($E$1*$I$1))*(H726-1)</f>
        <v>2.83201847586379</v>
      </c>
      <c r="J726" s="0" t="n">
        <f aca="false">$J$3*EXP(-$E$1*B726*86.4/$G$1)</f>
        <v>129.681032458526</v>
      </c>
      <c r="K726" s="0" t="n">
        <f aca="false">J725-J726</f>
        <v>0.366903285583675</v>
      </c>
    </row>
    <row r="727" customFormat="false" ht="12.8" hidden="false" customHeight="false" outlineLevel="0" collapsed="false">
      <c r="A727" s="0" t="n">
        <v>1</v>
      </c>
      <c r="B727" s="0" t="n">
        <f aca="false">B726+A727</f>
        <v>724</v>
      </c>
      <c r="C727" s="0" t="n">
        <f aca="false">$C$3+($G$1/($E$1*86.4))*SINH($E$1*B727*86.4/$G$1)</f>
        <v>45949.6595369352</v>
      </c>
      <c r="D727" s="0" t="n">
        <f aca="false">C727-$C$3-B727</f>
        <v>621.659536935156</v>
      </c>
      <c r="E727" s="0" t="n">
        <f aca="false">$E$1*B727*86.4</f>
        <v>613650.816</v>
      </c>
      <c r="F727" s="0" t="n">
        <f aca="false">$G$1*G727</f>
        <v>290131.576802739</v>
      </c>
      <c r="G727" s="0" t="n">
        <f aca="false">TANH($E$1*B727*86.4/$G$1)</f>
        <v>0.96710525600913</v>
      </c>
      <c r="H727" s="0" t="n">
        <f aca="false">COSH($E$1*B727*86.4/$G$1)</f>
        <v>3.93118014082665</v>
      </c>
      <c r="I727" s="0" t="n">
        <f aca="false">(($G$1^2*1000)/($E$1*$I$1))*(H727-1)</f>
        <v>2.84241934350321</v>
      </c>
      <c r="J727" s="0" t="n">
        <f aca="false">$J$3*EXP(-$E$1*B727*86.4/$G$1)</f>
        <v>129.315164314486</v>
      </c>
      <c r="K727" s="0" t="n">
        <f aca="false">J726-J727</f>
        <v>0.365868144039865</v>
      </c>
    </row>
    <row r="728" customFormat="false" ht="12.8" hidden="false" customHeight="false" outlineLevel="0" collapsed="false">
      <c r="A728" s="0" t="n">
        <v>1</v>
      </c>
      <c r="B728" s="0" t="n">
        <f aca="false">B727+A728</f>
        <v>725</v>
      </c>
      <c r="C728" s="0" t="n">
        <f aca="false">$C$3+($G$1/($E$1*86.4))*SINH($E$1*B728*86.4/$G$1)</f>
        <v>45953.596092976</v>
      </c>
      <c r="D728" s="0" t="n">
        <f aca="false">C728-$C$3-B728</f>
        <v>624.596092976019</v>
      </c>
      <c r="E728" s="0" t="n">
        <f aca="false">$E$1*B728*86.4</f>
        <v>614498.4</v>
      </c>
      <c r="F728" s="0" t="n">
        <f aca="false">$G$1*G728</f>
        <v>290186.272187743</v>
      </c>
      <c r="G728" s="0" t="n">
        <f aca="false">TANH($E$1*B728*86.4/$G$1)</f>
        <v>0.967287573959143</v>
      </c>
      <c r="H728" s="0" t="n">
        <f aca="false">COSH($E$1*B728*86.4/$G$1)</f>
        <v>3.94193717795483</v>
      </c>
      <c r="I728" s="0" t="n">
        <f aca="false">(($G$1^2*1000)/($E$1*$I$1))*(H728-1)</f>
        <v>2.85285064043581</v>
      </c>
      <c r="J728" s="0" t="n">
        <f aca="false">$J$3*EXP(-$E$1*B728*86.4/$G$1)</f>
        <v>128.950328391552</v>
      </c>
      <c r="K728" s="0" t="n">
        <f aca="false">J727-J728</f>
        <v>0.364835922933253</v>
      </c>
    </row>
    <row r="729" customFormat="false" ht="12.8" hidden="false" customHeight="false" outlineLevel="0" collapsed="false">
      <c r="A729" s="0" t="n">
        <v>1</v>
      </c>
      <c r="B729" s="0" t="n">
        <f aca="false">B728+A729</f>
        <v>726</v>
      </c>
      <c r="C729" s="0" t="n">
        <f aca="false">$C$3+($G$1/($E$1*86.4))*SINH($E$1*B729*86.4/$G$1)</f>
        <v>45957.5434217795</v>
      </c>
      <c r="D729" s="0" t="n">
        <f aca="false">C729-$C$3-B729</f>
        <v>627.543421779526</v>
      </c>
      <c r="E729" s="0" t="n">
        <f aca="false">$E$1*B729*86.4</f>
        <v>615345.984</v>
      </c>
      <c r="F729" s="0" t="n">
        <f aca="false">$G$1*G729</f>
        <v>290240.669438831</v>
      </c>
      <c r="G729" s="0" t="n">
        <f aca="false">TANH($E$1*B729*86.4/$G$1)</f>
        <v>0.967468898129436</v>
      </c>
      <c r="H729" s="0" t="n">
        <f aca="false">COSH($E$1*B729*86.4/$G$1)</f>
        <v>3.95272568046278</v>
      </c>
      <c r="I729" s="0" t="n">
        <f aca="false">(($G$1^2*1000)/($E$1*$I$1))*(H729-1)</f>
        <v>2.86331244992644</v>
      </c>
      <c r="J729" s="0" t="n">
        <f aca="false">$J$3*EXP(-$E$1*B729*86.4/$G$1)</f>
        <v>128.586521777528</v>
      </c>
      <c r="K729" s="0" t="n">
        <f aca="false">J728-J729</f>
        <v>0.363806614024611</v>
      </c>
    </row>
    <row r="730" customFormat="false" ht="12.8" hidden="false" customHeight="false" outlineLevel="0" collapsed="false">
      <c r="A730" s="0" t="n">
        <v>1</v>
      </c>
      <c r="B730" s="0" t="n">
        <f aca="false">B729+A730</f>
        <v>727</v>
      </c>
      <c r="C730" s="0" t="n">
        <f aca="false">$C$3+($G$1/($E$1*86.4))*SINH($E$1*B730*86.4/$G$1)</f>
        <v>45961.5015548541</v>
      </c>
      <c r="D730" s="0" t="n">
        <f aca="false">C730-$C$3-B730</f>
        <v>630.501554854105</v>
      </c>
      <c r="E730" s="0" t="n">
        <f aca="false">$E$1*B730*86.4</f>
        <v>616193.568</v>
      </c>
      <c r="F730" s="0" t="n">
        <f aca="false">$G$1*G730</f>
        <v>290294.770125642</v>
      </c>
      <c r="G730" s="0" t="n">
        <f aca="false">TANH($E$1*B730*86.4/$G$1)</f>
        <v>0.967649233752141</v>
      </c>
      <c r="H730" s="0" t="n">
        <f aca="false">COSH($E$1*B730*86.4/$G$1)</f>
        <v>3.96354573446663</v>
      </c>
      <c r="I730" s="0" t="n">
        <f aca="false">(($G$1^2*1000)/($E$1*$I$1))*(H730-1)</f>
        <v>2.87380485548348</v>
      </c>
      <c r="J730" s="0" t="n">
        <f aca="false">$J$3*EXP(-$E$1*B730*86.4/$G$1)</f>
        <v>128.22374156843</v>
      </c>
      <c r="K730" s="0" t="n">
        <f aca="false">J729-J730</f>
        <v>0.36278020909748</v>
      </c>
    </row>
    <row r="731" customFormat="false" ht="12.8" hidden="false" customHeight="false" outlineLevel="0" collapsed="false">
      <c r="A731" s="0" t="n">
        <v>1</v>
      </c>
      <c r="B731" s="0" t="n">
        <f aca="false">B730+A731</f>
        <v>728</v>
      </c>
      <c r="C731" s="0" t="n">
        <f aca="false">$C$3+($G$1/($E$1*86.4))*SINH($E$1*B731*86.4/$G$1)</f>
        <v>45965.4705237944</v>
      </c>
      <c r="D731" s="0" t="n">
        <f aca="false">C731-$C$3-B731</f>
        <v>633.470523794407</v>
      </c>
      <c r="E731" s="0" t="n">
        <f aca="false">$E$1*B731*86.4</f>
        <v>617041.152</v>
      </c>
      <c r="F731" s="0" t="n">
        <f aca="false">$G$1*G731</f>
        <v>290348.575810165</v>
      </c>
      <c r="G731" s="0" t="n">
        <f aca="false">TANH($E$1*B731*86.4/$G$1)</f>
        <v>0.967828586033883</v>
      </c>
      <c r="H731" s="0" t="n">
        <f aca="false">COSH($E$1*B731*86.4/$G$1)</f>
        <v>3.97439742633434</v>
      </c>
      <c r="I731" s="0" t="n">
        <f aca="false">(($G$1^2*1000)/($E$1*$I$1))*(H731-1)</f>
        <v>2.88432794085953</v>
      </c>
      <c r="J731" s="0" t="n">
        <f aca="false">$J$3*EXP(-$E$1*B731*86.4/$G$1)</f>
        <v>127.861984868471</v>
      </c>
      <c r="K731" s="0" t="n">
        <f aca="false">J730-J731</f>
        <v>0.361756699959145</v>
      </c>
    </row>
    <row r="732" customFormat="false" ht="12.8" hidden="false" customHeight="false" outlineLevel="0" collapsed="false">
      <c r="A732" s="0" t="n">
        <v>1</v>
      </c>
      <c r="B732" s="0" t="n">
        <f aca="false">B731+A732</f>
        <v>729</v>
      </c>
      <c r="C732" s="0" t="n">
        <f aca="false">$C$3+($G$1/($E$1*86.4))*SINH($E$1*B732*86.4/$G$1)</f>
        <v>45969.4503602816</v>
      </c>
      <c r="D732" s="0" t="n">
        <f aca="false">C732-$C$3-B732</f>
        <v>636.450360281597</v>
      </c>
      <c r="E732" s="0" t="n">
        <f aca="false">$E$1*B732*86.4</f>
        <v>617888.736</v>
      </c>
      <c r="F732" s="0" t="n">
        <f aca="false">$G$1*G732</f>
        <v>290402.088046767</v>
      </c>
      <c r="G732" s="0" t="n">
        <f aca="false">TANH($E$1*B732*86.4/$G$1)</f>
        <v>0.968006960155891</v>
      </c>
      <c r="H732" s="0" t="n">
        <f aca="false">COSH($E$1*B732*86.4/$G$1)</f>
        <v>3.98528084268642</v>
      </c>
      <c r="I732" s="0" t="n">
        <f aca="false">(($G$1^2*1000)/($E$1*$I$1))*(H732-1)</f>
        <v>2.89488179005211</v>
      </c>
      <c r="J732" s="0" t="n">
        <f aca="false">$J$3*EXP(-$E$1*B732*86.4/$G$1)</f>
        <v>127.501248790032</v>
      </c>
      <c r="K732" s="0" t="n">
        <f aca="false">J731-J732</f>
        <v>0.360736078439501</v>
      </c>
    </row>
    <row r="733" customFormat="false" ht="12.8" hidden="false" customHeight="false" outlineLevel="0" collapsed="false">
      <c r="A733" s="0" t="n">
        <v>1</v>
      </c>
      <c r="B733" s="0" t="n">
        <f aca="false">B732+A733</f>
        <v>730</v>
      </c>
      <c r="C733" s="0" t="n">
        <f aca="false">$C$3+($G$1/($E$1*86.4))*SINH($E$1*B733*86.4/$G$1)</f>
        <v>45973.4410960836</v>
      </c>
      <c r="D733" s="0" t="n">
        <f aca="false">C733-$C$3-B733</f>
        <v>639.441096083567</v>
      </c>
      <c r="E733" s="0" t="n">
        <f aca="false">$E$1*B733*86.4</f>
        <v>618736.32</v>
      </c>
      <c r="F733" s="0" t="n">
        <f aca="false">$G$1*G733</f>
        <v>290455.308382227</v>
      </c>
      <c r="G733" s="0" t="n">
        <f aca="false">TANH($E$1*B733*86.4/$G$1)</f>
        <v>0.96818436127409</v>
      </c>
      <c r="H733" s="0" t="n">
        <f aca="false">COSH($E$1*B733*86.4/$G$1)</f>
        <v>3.99619607039662</v>
      </c>
      <c r="I733" s="0" t="n">
        <f aca="false">(($G$1^2*1000)/($E$1*$I$1))*(H733-1)</f>
        <v>2.90546648730427</v>
      </c>
      <c r="J733" s="0" t="n">
        <f aca="false">$J$3*EXP(-$E$1*B733*86.4/$G$1)</f>
        <v>127.14153045364</v>
      </c>
      <c r="K733" s="0" t="n">
        <f aca="false">J732-J733</f>
        <v>0.359718336391921</v>
      </c>
    </row>
    <row r="734" customFormat="false" ht="12.8" hidden="false" customHeight="false" outlineLevel="0" collapsed="false">
      <c r="A734" s="0" t="n">
        <v>1</v>
      </c>
      <c r="B734" s="0" t="n">
        <f aca="false">B733+A734</f>
        <v>731</v>
      </c>
      <c r="C734" s="0" t="n">
        <f aca="false">$C$3+($G$1/($E$1*86.4))*SINH($E$1*B734*86.4/$G$1)</f>
        <v>45977.4427630552</v>
      </c>
      <c r="D734" s="0" t="n">
        <f aca="false">C734-$C$3-B734</f>
        <v>642.442763055216</v>
      </c>
      <c r="E734" s="0" t="n">
        <f aca="false">$E$1*B734*86.4</f>
        <v>619583.904</v>
      </c>
      <c r="F734" s="0" t="n">
        <f aca="false">$G$1*G734</f>
        <v>290508.238355763</v>
      </c>
      <c r="G734" s="0" t="n">
        <f aca="false">TANH($E$1*B734*86.4/$G$1)</f>
        <v>0.968360794519209</v>
      </c>
      <c r="H734" s="0" t="n">
        <f aca="false">COSH($E$1*B734*86.4/$G$1)</f>
        <v>4.00714319659259</v>
      </c>
      <c r="I734" s="0" t="n">
        <f aca="false">(($G$1^2*1000)/($E$1*$I$1))*(H734-1)</f>
        <v>2.91608211710532</v>
      </c>
      <c r="J734" s="0" t="n">
        <f aca="false">$J$3*EXP(-$E$1*B734*86.4/$G$1)</f>
        <v>126.782826987947</v>
      </c>
      <c r="K734" s="0" t="n">
        <f aca="false">J733-J734</f>
        <v>0.358703465692557</v>
      </c>
    </row>
    <row r="735" customFormat="false" ht="12.8" hidden="false" customHeight="false" outlineLevel="0" collapsed="false">
      <c r="A735" s="0" t="n">
        <v>1</v>
      </c>
      <c r="B735" s="0" t="n">
        <f aca="false">B734+A735</f>
        <v>732</v>
      </c>
      <c r="C735" s="0" t="n">
        <f aca="false">$C$3+($G$1/($E$1*86.4))*SINH($E$1*B735*86.4/$G$1)</f>
        <v>45981.4553931387</v>
      </c>
      <c r="D735" s="0" t="n">
        <f aca="false">C735-$C$3-B735</f>
        <v>645.455393138705</v>
      </c>
      <c r="E735" s="0" t="n">
        <f aca="false">$E$1*B735*86.4</f>
        <v>620431.488</v>
      </c>
      <c r="F735" s="0" t="n">
        <f aca="false">$G$1*G735</f>
        <v>290560.879499063</v>
      </c>
      <c r="G735" s="0" t="n">
        <f aca="false">TANH($E$1*B735*86.4/$G$1)</f>
        <v>0.968536264996878</v>
      </c>
      <c r="H735" s="0" t="n">
        <f aca="false">COSH($E$1*B735*86.4/$G$1)</f>
        <v>4.01812230865662</v>
      </c>
      <c r="I735" s="0" t="n">
        <f aca="false">(($G$1^2*1000)/($E$1*$I$1))*(H735-1)</f>
        <v>2.92672876419146</v>
      </c>
      <c r="J735" s="0" t="n">
        <f aca="false">$J$3*EXP(-$E$1*B735*86.4/$G$1)</f>
        <v>126.425135529707</v>
      </c>
      <c r="K735" s="0" t="n">
        <f aca="false">J734-J735</f>
        <v>0.357691458240339</v>
      </c>
    </row>
    <row r="736" customFormat="false" ht="12.8" hidden="false" customHeight="false" outlineLevel="0" collapsed="false">
      <c r="A736" s="0" t="n">
        <v>1</v>
      </c>
      <c r="B736" s="0" t="n">
        <f aca="false">B735+A736</f>
        <v>733</v>
      </c>
      <c r="C736" s="0" t="n">
        <f aca="false">$C$3+($G$1/($E$1*86.4))*SINH($E$1*B736*86.4/$G$1)</f>
        <v>45985.4790183637</v>
      </c>
      <c r="D736" s="0" t="n">
        <f aca="false">C736-$C$3-B736</f>
        <v>648.479018363694</v>
      </c>
      <c r="E736" s="0" t="n">
        <f aca="false">$E$1*B736*86.4</f>
        <v>621279.072</v>
      </c>
      <c r="F736" s="0" t="n">
        <f aca="false">$G$1*G736</f>
        <v>290613.233336319</v>
      </c>
      <c r="G736" s="0" t="n">
        <f aca="false">TANH($E$1*B736*86.4/$G$1)</f>
        <v>0.96871077778773</v>
      </c>
      <c r="H736" s="0" t="n">
        <f aca="false">COSH($E$1*B736*86.4/$G$1)</f>
        <v>4.02913349422633</v>
      </c>
      <c r="I736" s="0" t="n">
        <f aca="false">(($G$1^2*1000)/($E$1*$I$1))*(H736-1)</f>
        <v>2.93740651354651</v>
      </c>
      <c r="J736" s="0" t="n">
        <f aca="false">$J$3*EXP(-$E$1*B736*86.4/$G$1)</f>
        <v>126.068453223749</v>
      </c>
      <c r="K736" s="0" t="n">
        <f aca="false">J735-J736</f>
        <v>0.356682305957392</v>
      </c>
    </row>
    <row r="737" customFormat="false" ht="12.8" hidden="false" customHeight="false" outlineLevel="0" collapsed="false">
      <c r="A737" s="0" t="n">
        <v>1</v>
      </c>
      <c r="B737" s="0" t="n">
        <f aca="false">B736+A737</f>
        <v>734</v>
      </c>
      <c r="C737" s="0" t="n">
        <f aca="false">$C$3+($G$1/($E$1*86.4))*SINH($E$1*B737*86.4/$G$1)</f>
        <v>45989.5136708476</v>
      </c>
      <c r="D737" s="0" t="n">
        <f aca="false">C737-$C$3-B737</f>
        <v>651.51367084762</v>
      </c>
      <c r="E737" s="0" t="n">
        <f aca="false">$E$1*B737*86.4</f>
        <v>622126.656</v>
      </c>
      <c r="F737" s="0" t="n">
        <f aca="false">$G$1*G737</f>
        <v>290665.301384251</v>
      </c>
      <c r="G737" s="0" t="n">
        <f aca="false">TANH($E$1*B737*86.4/$G$1)</f>
        <v>0.968884337947502</v>
      </c>
      <c r="H737" s="0" t="n">
        <f aca="false">COSH($E$1*B737*86.4/$G$1)</f>
        <v>4.04017684119533</v>
      </c>
      <c r="I737" s="0" t="n">
        <f aca="false">(($G$1^2*1000)/($E$1*$I$1))*(H737-1)</f>
        <v>2.94811545040252</v>
      </c>
      <c r="J737" s="0" t="n">
        <f aca="false">$J$3*EXP(-$E$1*B737*86.4/$G$1)</f>
        <v>125.712777222961</v>
      </c>
      <c r="K737" s="0" t="n">
        <f aca="false">J736-J737</f>
        <v>0.355676000788336</v>
      </c>
    </row>
    <row r="738" customFormat="false" ht="12.8" hidden="false" customHeight="false" outlineLevel="0" collapsed="false">
      <c r="A738" s="0" t="n">
        <v>1</v>
      </c>
      <c r="B738" s="0" t="n">
        <f aca="false">B737+A738</f>
        <v>735</v>
      </c>
      <c r="C738" s="0" t="n">
        <f aca="false">$C$3+($G$1/($E$1*86.4))*SINH($E$1*B738*86.4/$G$1)</f>
        <v>45993.5593827959</v>
      </c>
      <c r="D738" s="0" t="n">
        <f aca="false">C738-$C$3-B738</f>
        <v>654.559382795931</v>
      </c>
      <c r="E738" s="0" t="n">
        <f aca="false">$E$1*B738*86.4</f>
        <v>622974.24</v>
      </c>
      <c r="F738" s="0" t="n">
        <f aca="false">$G$1*G738</f>
        <v>290717.085152141</v>
      </c>
      <c r="G738" s="0" t="n">
        <f aca="false">TANH($E$1*B738*86.4/$G$1)</f>
        <v>0.969056950507138</v>
      </c>
      <c r="H738" s="0" t="n">
        <f aca="false">COSH($E$1*B738*86.4/$G$1)</f>
        <v>4.05125243771396</v>
      </c>
      <c r="I738" s="0" t="n">
        <f aca="false">(($G$1^2*1000)/($E$1*$I$1))*(H738-1)</f>
        <v>2.95885566024049</v>
      </c>
      <c r="J738" s="0" t="n">
        <f aca="false">$J$3*EXP(-$E$1*B738*86.4/$G$1)</f>
        <v>125.358104688261</v>
      </c>
      <c r="K738" s="0" t="n">
        <f aca="false">J737-J738</f>
        <v>0.354672534700654</v>
      </c>
    </row>
    <row r="739" customFormat="false" ht="12.8" hidden="false" customHeight="false" outlineLevel="0" collapsed="false">
      <c r="A739" s="0" t="n">
        <v>1</v>
      </c>
      <c r="B739" s="0" t="n">
        <f aca="false">B738+A739</f>
        <v>736</v>
      </c>
      <c r="C739" s="0" t="n">
        <f aca="false">$C$3+($G$1/($E$1*86.4))*SINH($E$1*B739*86.4/$G$1)</f>
        <v>45997.6161865024</v>
      </c>
      <c r="D739" s="0" t="n">
        <f aca="false">C739-$C$3-B739</f>
        <v>657.616186502368</v>
      </c>
      <c r="E739" s="0" t="n">
        <f aca="false">$E$1*B739*86.4</f>
        <v>623821.824</v>
      </c>
      <c r="F739" s="0" t="n">
        <f aca="false">$G$1*G739</f>
        <v>290768.586141865</v>
      </c>
      <c r="G739" s="0" t="n">
        <f aca="false">TANH($E$1*B739*86.4/$G$1)</f>
        <v>0.969228620472884</v>
      </c>
      <c r="H739" s="0" t="n">
        <f aca="false">COSH($E$1*B739*86.4/$G$1)</f>
        <v>4.06236037218998</v>
      </c>
      <c r="I739" s="0" t="n">
        <f aca="false">(($G$1^2*1000)/($E$1*$I$1))*(H739-1)</f>
        <v>2.96962722879107</v>
      </c>
      <c r="J739" s="0" t="n">
        <f aca="false">$J$3*EXP(-$E$1*B739*86.4/$G$1)</f>
        <v>125.004432788576</v>
      </c>
      <c r="K739" s="0" t="n">
        <f aca="false">J738-J739</f>
        <v>0.353671899684457</v>
      </c>
    </row>
    <row r="740" customFormat="false" ht="12.8" hidden="false" customHeight="false" outlineLevel="0" collapsed="false">
      <c r="A740" s="0" t="n">
        <v>1</v>
      </c>
      <c r="B740" s="0" t="n">
        <f aca="false">B739+A740</f>
        <v>737</v>
      </c>
      <c r="C740" s="0" t="n">
        <f aca="false">$C$3+($G$1/($E$1*86.4))*SINH($E$1*B740*86.4/$G$1)</f>
        <v>46001.6841143492</v>
      </c>
      <c r="D740" s="0" t="n">
        <f aca="false">C740-$C$3-B740</f>
        <v>660.684114349184</v>
      </c>
      <c r="E740" s="0" t="n">
        <f aca="false">$E$1*B740*86.4</f>
        <v>624669.408</v>
      </c>
      <c r="F740" s="0" t="n">
        <f aca="false">$G$1*G740</f>
        <v>290819.805847917</v>
      </c>
      <c r="G740" s="0" t="n">
        <f aca="false">TANH($E$1*B740*86.4/$G$1)</f>
        <v>0.969399352826391</v>
      </c>
      <c r="H740" s="0" t="n">
        <f aca="false">COSH($E$1*B740*86.4/$G$1)</f>
        <v>4.07350073328929</v>
      </c>
      <c r="I740" s="0" t="n">
        <f aca="false">(($G$1^2*1000)/($E$1*$I$1))*(H740-1)</f>
        <v>2.98043024203521</v>
      </c>
      <c r="J740" s="0" t="n">
        <f aca="false">$J$3*EXP(-$E$1*B740*86.4/$G$1)</f>
        <v>124.651758700824</v>
      </c>
      <c r="K740" s="0" t="n">
        <f aca="false">J739-J740</f>
        <v>0.352674087752462</v>
      </c>
    </row>
    <row r="741" customFormat="false" ht="12.8" hidden="false" customHeight="false" outlineLevel="0" collapsed="false">
      <c r="A741" s="0" t="n">
        <v>1</v>
      </c>
      <c r="B741" s="0" t="n">
        <f aca="false">B740+A741</f>
        <v>738</v>
      </c>
      <c r="C741" s="0" t="n">
        <f aca="false">$C$3+($G$1/($E$1*86.4))*SINH($E$1*B741*86.4/$G$1)</f>
        <v>46005.7631988075</v>
      </c>
      <c r="D741" s="0" t="n">
        <f aca="false">C741-$C$3-B741</f>
        <v>663.763198807457</v>
      </c>
      <c r="E741" s="0" t="n">
        <f aca="false">$E$1*B741*86.4</f>
        <v>625516.992</v>
      </c>
      <c r="F741" s="0" t="n">
        <f aca="false">$G$1*G741</f>
        <v>290870.745757445</v>
      </c>
      <c r="G741" s="0" t="n">
        <f aca="false">TANH($E$1*B741*86.4/$G$1)</f>
        <v>0.969569152524818</v>
      </c>
      <c r="H741" s="0" t="n">
        <f aca="false">COSH($E$1*B741*86.4/$G$1)</f>
        <v>4.08467360993661</v>
      </c>
      <c r="I741" s="0" t="n">
        <f aca="false">(($G$1^2*1000)/($E$1*$I$1))*(H741-1)</f>
        <v>2.99126478620484</v>
      </c>
      <c r="J741" s="0" t="n">
        <f aca="false">$J$3*EXP(-$E$1*B741*86.4/$G$1)</f>
        <v>124.300079609884</v>
      </c>
      <c r="K741" s="0" t="n">
        <f aca="false">J740-J741</f>
        <v>0.35167909094001</v>
      </c>
    </row>
    <row r="742" customFormat="false" ht="12.8" hidden="false" customHeight="false" outlineLevel="0" collapsed="false">
      <c r="A742" s="0" t="n">
        <v>1</v>
      </c>
      <c r="B742" s="0" t="n">
        <f aca="false">B741+A742</f>
        <v>739</v>
      </c>
      <c r="C742" s="0" t="n">
        <f aca="false">$C$3+($G$1/($E$1*86.4))*SINH($E$1*B742*86.4/$G$1)</f>
        <v>46009.8534724373</v>
      </c>
      <c r="D742" s="0" t="n">
        <f aca="false">C742-$C$3-B742</f>
        <v>666.853472437302</v>
      </c>
      <c r="E742" s="0" t="n">
        <f aca="false">$E$1*B742*86.4</f>
        <v>626364.576</v>
      </c>
      <c r="F742" s="0" t="n">
        <f aca="false">$G$1*G742</f>
        <v>290921.407350278</v>
      </c>
      <c r="G742" s="0" t="n">
        <f aca="false">TANH($E$1*B742*86.4/$G$1)</f>
        <v>0.969738024500927</v>
      </c>
      <c r="H742" s="0" t="n">
        <f aca="false">COSH($E$1*B742*86.4/$G$1)</f>
        <v>4.09587909131623</v>
      </c>
      <c r="I742" s="0" t="n">
        <f aca="false">(($G$1^2*1000)/($E$1*$I$1))*(H742-1)</f>
        <v>3.0021309477836</v>
      </c>
      <c r="J742" s="0" t="n">
        <f aca="false">$J$3*EXP(-$E$1*B742*86.4/$G$1)</f>
        <v>123.949392708579</v>
      </c>
      <c r="K742" s="0" t="n">
        <f aca="false">J741-J742</f>
        <v>0.350686901304655</v>
      </c>
    </row>
    <row r="743" customFormat="false" ht="12.8" hidden="false" customHeight="false" outlineLevel="0" collapsed="false">
      <c r="A743" s="0" t="n">
        <v>1</v>
      </c>
      <c r="B743" s="0" t="n">
        <f aca="false">B742+A743</f>
        <v>740</v>
      </c>
      <c r="C743" s="0" t="n">
        <f aca="false">$C$3+($G$1/($E$1*86.4))*SINH($E$1*B743*86.4/$G$1)</f>
        <v>46013.9549678881</v>
      </c>
      <c r="D743" s="0" t="n">
        <f aca="false">C743-$C$3-B743</f>
        <v>669.954967888145</v>
      </c>
      <c r="E743" s="0" t="n">
        <f aca="false">$E$1*B743*86.4</f>
        <v>627212.16</v>
      </c>
      <c r="F743" s="0" t="n">
        <f aca="false">$G$1*G743</f>
        <v>290971.792098956</v>
      </c>
      <c r="G743" s="0" t="n">
        <f aca="false">TANH($E$1*B743*86.4/$G$1)</f>
        <v>0.969905973663185</v>
      </c>
      <c r="H743" s="0" t="n">
        <f aca="false">COSH($E$1*B743*86.4/$G$1)</f>
        <v>4.10711726687267</v>
      </c>
      <c r="I743" s="0" t="n">
        <f aca="false">(($G$1^2*1000)/($E$1*$I$1))*(H743-1)</f>
        <v>3.01302881350751</v>
      </c>
      <c r="J743" s="0" t="n">
        <f aca="false">$J$3*EXP(-$E$1*B743*86.4/$G$1)</f>
        <v>123.599695197652</v>
      </c>
      <c r="K743" s="0" t="n">
        <f aca="false">J742-J743</f>
        <v>0.349697510926745</v>
      </c>
    </row>
    <row r="744" customFormat="false" ht="12.8" hidden="false" customHeight="false" outlineLevel="0" collapsed="false">
      <c r="A744" s="0" t="n">
        <v>1</v>
      </c>
      <c r="B744" s="0" t="n">
        <f aca="false">B743+A744</f>
        <v>741</v>
      </c>
      <c r="C744" s="0" t="n">
        <f aca="false">$C$3+($G$1/($E$1*86.4))*SINH($E$1*B744*86.4/$G$1)</f>
        <v>46018.067717899</v>
      </c>
      <c r="D744" s="0" t="n">
        <f aca="false">C744-$C$3-B744</f>
        <v>673.067717899001</v>
      </c>
      <c r="E744" s="0" t="n">
        <f aca="false">$E$1*B744*86.4</f>
        <v>628059.744</v>
      </c>
      <c r="F744" s="0" t="n">
        <f aca="false">$G$1*G744</f>
        <v>291021.90146876</v>
      </c>
      <c r="G744" s="0" t="n">
        <f aca="false">TANH($E$1*B744*86.4/$G$1)</f>
        <v>0.970073004895867</v>
      </c>
      <c r="H744" s="0" t="n">
        <f aca="false">COSH($E$1*B744*86.4/$G$1)</f>
        <v>4.11838822631144</v>
      </c>
      <c r="I744" s="0" t="n">
        <f aca="false">(($G$1^2*1000)/($E$1*$I$1))*(H744-1)</f>
        <v>3.02395847036564</v>
      </c>
      <c r="J744" s="0" t="n">
        <f aca="false">$J$3*EXP(-$E$1*B744*86.4/$G$1)</f>
        <v>123.250984285744</v>
      </c>
      <c r="K744" s="0" t="n">
        <f aca="false">J743-J744</f>
        <v>0.348710911908583</v>
      </c>
    </row>
    <row r="745" customFormat="false" ht="12.8" hidden="false" customHeight="false" outlineLevel="0" collapsed="false">
      <c r="A745" s="0" t="n">
        <v>1</v>
      </c>
      <c r="B745" s="0" t="n">
        <f aca="false">B744+A745</f>
        <v>742</v>
      </c>
      <c r="C745" s="0" t="n">
        <f aca="false">$C$3+($G$1/($E$1*86.4))*SINH($E$1*B745*86.4/$G$1)</f>
        <v>46022.1917552987</v>
      </c>
      <c r="D745" s="0" t="n">
        <f aca="false">C745-$C$3-B745</f>
        <v>676.191755298714</v>
      </c>
      <c r="E745" s="0" t="n">
        <f aca="false">$E$1*B745*86.4</f>
        <v>628907.328</v>
      </c>
      <c r="F745" s="0" t="n">
        <f aca="false">$G$1*G745</f>
        <v>291071.736917744</v>
      </c>
      <c r="G745" s="0" t="n">
        <f aca="false">TANH($E$1*B745*86.4/$G$1)</f>
        <v>0.970239123059146</v>
      </c>
      <c r="H745" s="0" t="n">
        <f aca="false">COSH($E$1*B745*86.4/$G$1)</f>
        <v>4.12969205959972</v>
      </c>
      <c r="I745" s="0" t="n">
        <f aca="false">(($G$1^2*1000)/($E$1*$I$1))*(H745-1)</f>
        <v>3.03492000560082</v>
      </c>
      <c r="J745" s="0" t="n">
        <f aca="false">$J$3*EXP(-$E$1*B745*86.4/$G$1)</f>
        <v>122.903257189369</v>
      </c>
      <c r="K745" s="0" t="n">
        <f aca="false">J744-J745</f>
        <v>0.347727096374982</v>
      </c>
    </row>
    <row r="746" customFormat="false" ht="12.8" hidden="false" customHeight="false" outlineLevel="0" collapsed="false">
      <c r="A746" s="0" t="n">
        <v>1</v>
      </c>
      <c r="B746" s="0" t="n">
        <f aca="false">B745+A746</f>
        <v>743</v>
      </c>
      <c r="C746" s="0" t="n">
        <f aca="false">$C$3+($G$1/($E$1*86.4))*SINH($E$1*B746*86.4/$G$1)</f>
        <v>46026.3271130062</v>
      </c>
      <c r="D746" s="0" t="n">
        <f aca="false">C746-$C$3-B746</f>
        <v>679.327113006228</v>
      </c>
      <c r="E746" s="0" t="n">
        <f aca="false">$E$1*B746*86.4</f>
        <v>629754.912</v>
      </c>
      <c r="F746" s="0" t="n">
        <f aca="false">$G$1*G746</f>
        <v>291121.299896761</v>
      </c>
      <c r="G746" s="0" t="n">
        <f aca="false">TANH($E$1*B746*86.4/$G$1)</f>
        <v>0.970404332989204</v>
      </c>
      <c r="H746" s="0" t="n">
        <f aca="false">COSH($E$1*B746*86.4/$G$1)</f>
        <v>4.14102885696712</v>
      </c>
      <c r="I746" s="0" t="n">
        <f aca="false">(($G$1^2*1000)/($E$1*$I$1))*(H746-1)</f>
        <v>3.04591350671038</v>
      </c>
      <c r="J746" s="0" t="n">
        <f aca="false">$J$3*EXP(-$E$1*B746*86.4/$G$1)</f>
        <v>122.556511132896</v>
      </c>
      <c r="K746" s="0" t="n">
        <f aca="false">J745-J746</f>
        <v>0.346746056472853</v>
      </c>
    </row>
    <row r="747" customFormat="false" ht="12.8" hidden="false" customHeight="false" outlineLevel="0" collapsed="false">
      <c r="A747" s="0" t="n">
        <v>1</v>
      </c>
      <c r="B747" s="0" t="n">
        <f aca="false">B746+A747</f>
        <v>744</v>
      </c>
      <c r="C747" s="0" t="n">
        <f aca="false">$C$3+($G$1/($E$1*86.4))*SINH($E$1*B747*86.4/$G$1)</f>
        <v>46030.4738240308</v>
      </c>
      <c r="D747" s="0" t="n">
        <f aca="false">C747-$C$3-B747</f>
        <v>682.473824030836</v>
      </c>
      <c r="E747" s="0" t="n">
        <f aca="false">$E$1*B747*86.4</f>
        <v>630602.496</v>
      </c>
      <c r="F747" s="0" t="n">
        <f aca="false">$G$1*G747</f>
        <v>291170.591849497</v>
      </c>
      <c r="G747" s="0" t="n">
        <f aca="false">TANH($E$1*B747*86.4/$G$1)</f>
        <v>0.970568639498322</v>
      </c>
      <c r="H747" s="0" t="n">
        <f aca="false">COSH($E$1*B747*86.4/$G$1)</f>
        <v>4.15239870890637</v>
      </c>
      <c r="I747" s="0" t="n">
        <f aca="false">(($G$1^2*1000)/($E$1*$I$1))*(H747-1)</f>
        <v>3.05693906144676</v>
      </c>
      <c r="J747" s="0" t="n">
        <f aca="false">$J$3*EXP(-$E$1*B747*86.4/$G$1)</f>
        <v>122.210743348524</v>
      </c>
      <c r="K747" s="0" t="n">
        <f aca="false">J746-J747</f>
        <v>0.345767784371461</v>
      </c>
    </row>
    <row r="748" customFormat="false" ht="12.8" hidden="false" customHeight="false" outlineLevel="0" collapsed="false">
      <c r="A748" s="0" t="n">
        <v>1</v>
      </c>
      <c r="B748" s="0" t="n">
        <f aca="false">B747+A748</f>
        <v>745</v>
      </c>
      <c r="C748" s="0" t="n">
        <f aca="false">$C$3+($G$1/($E$1*86.4))*SINH($E$1*B748*86.4/$G$1)</f>
        <v>46034.6319214725</v>
      </c>
      <c r="D748" s="0" t="n">
        <f aca="false">C748-$C$3-B748</f>
        <v>685.631921472479</v>
      </c>
      <c r="E748" s="0" t="n">
        <f aca="false">$E$1*B748*86.4</f>
        <v>631450.08</v>
      </c>
      <c r="F748" s="0" t="n">
        <f aca="false">$G$1*G748</f>
        <v>291219.614212495</v>
      </c>
      <c r="G748" s="0" t="n">
        <f aca="false">TANH($E$1*B748*86.4/$G$1)</f>
        <v>0.970732047374984</v>
      </c>
      <c r="H748" s="0" t="n">
        <f aca="false">COSH($E$1*B748*86.4/$G$1)</f>
        <v>4.16380170617402</v>
      </c>
      <c r="I748" s="0" t="n">
        <f aca="false">(($G$1^2*1000)/($E$1*$I$1))*(H748-1)</f>
        <v>3.06799675781828</v>
      </c>
      <c r="J748" s="0" t="n">
        <f aca="false">$J$3*EXP(-$E$1*B748*86.4/$G$1)</f>
        <v>121.865951076262</v>
      </c>
      <c r="K748" s="0" t="n">
        <f aca="false">J747-J748</f>
        <v>0.344792272261998</v>
      </c>
    </row>
    <row r="749" customFormat="false" ht="12.8" hidden="false" customHeight="false" outlineLevel="0" collapsed="false">
      <c r="A749" s="0" t="n">
        <v>1</v>
      </c>
      <c r="B749" s="0" t="n">
        <f aca="false">B748+A749</f>
        <v>746</v>
      </c>
      <c r="C749" s="0" t="n">
        <f aca="false">$C$3+($G$1/($E$1*86.4))*SINH($E$1*B749*86.4/$G$1)</f>
        <v>46038.801438522</v>
      </c>
      <c r="D749" s="0" t="n">
        <f aca="false">C749-$C$3-B749</f>
        <v>688.801438521965</v>
      </c>
      <c r="E749" s="0" t="n">
        <f aca="false">$E$1*B749*86.4</f>
        <v>632297.664</v>
      </c>
      <c r="F749" s="0" t="n">
        <f aca="false">$G$1*G749</f>
        <v>291268.368415192</v>
      </c>
      <c r="G749" s="0" t="n">
        <f aca="false">TANH($E$1*B749*86.4/$G$1)</f>
        <v>0.970894561383972</v>
      </c>
      <c r="H749" s="0" t="n">
        <f aca="false">COSH($E$1*B749*86.4/$G$1)</f>
        <v>4.17523793979124</v>
      </c>
      <c r="I749" s="0" t="n">
        <f aca="false">(($G$1^2*1000)/($E$1*$I$1))*(H749-1)</f>
        <v>3.07908668408983</v>
      </c>
      <c r="J749" s="0" t="n">
        <f aca="false">$J$3*EXP(-$E$1*B749*86.4/$G$1)</f>
        <v>121.522131563905</v>
      </c>
      <c r="K749" s="0" t="n">
        <f aca="false">J748-J749</f>
        <v>0.343819512357641</v>
      </c>
    </row>
    <row r="750" customFormat="false" ht="12.8" hidden="false" customHeight="false" outlineLevel="0" collapsed="false">
      <c r="A750" s="0" t="n">
        <v>1</v>
      </c>
      <c r="B750" s="0" t="n">
        <f aca="false">B749+A750</f>
        <v>747</v>
      </c>
      <c r="C750" s="0" t="n">
        <f aca="false">$C$3+($G$1/($E$1*86.4))*SINH($E$1*B750*86.4/$G$1)</f>
        <v>46042.9824084613</v>
      </c>
      <c r="D750" s="0" t="n">
        <f aca="false">C750-$C$3-B750</f>
        <v>691.98240846127</v>
      </c>
      <c r="E750" s="0" t="n">
        <f aca="false">$E$1*B750*86.4</f>
        <v>633145.248</v>
      </c>
      <c r="F750" s="0" t="n">
        <f aca="false">$G$1*G750</f>
        <v>291316.855879941</v>
      </c>
      <c r="G750" s="0" t="n">
        <f aca="false">TANH($E$1*B750*86.4/$G$1)</f>
        <v>0.971056186266468</v>
      </c>
      <c r="H750" s="0" t="n">
        <f aca="false">COSH($E$1*B750*86.4/$G$1)</f>
        <v>4.18670750104447</v>
      </c>
      <c r="I750" s="0" t="n">
        <f aca="false">(($G$1^2*1000)/($E$1*$I$1))*(H750-1)</f>
        <v>3.09020892878356</v>
      </c>
      <c r="J750" s="0" t="n">
        <f aca="false">$J$3*EXP(-$E$1*B750*86.4/$G$1)</f>
        <v>121.179282067011</v>
      </c>
      <c r="K750" s="0" t="n">
        <f aca="false">J749-J750</f>
        <v>0.342849496893663</v>
      </c>
    </row>
    <row r="751" customFormat="false" ht="12.8" hidden="false" customHeight="false" outlineLevel="0" collapsed="false">
      <c r="A751" s="0" t="n">
        <v>1</v>
      </c>
      <c r="B751" s="0" t="n">
        <f aca="false">B750+A751</f>
        <v>748</v>
      </c>
      <c r="C751" s="0" t="n">
        <f aca="false">$C$3+($G$1/($E$1*86.4))*SINH($E$1*B751*86.4/$G$1)</f>
        <v>46047.1748646638</v>
      </c>
      <c r="D751" s="0" t="n">
        <f aca="false">C751-$C$3-B751</f>
        <v>695.174864663779</v>
      </c>
      <c r="E751" s="0" t="n">
        <f aca="false">$E$1*B751*86.4</f>
        <v>633992.832</v>
      </c>
      <c r="F751" s="0" t="n">
        <f aca="false">$G$1*G751</f>
        <v>291365.078022045</v>
      </c>
      <c r="G751" s="0" t="n">
        <f aca="false">TANH($E$1*B751*86.4/$G$1)</f>
        <v>0.971216926740151</v>
      </c>
      <c r="H751" s="0" t="n">
        <f aca="false">COSH($E$1*B751*86.4/$G$1)</f>
        <v>4.19821048148617</v>
      </c>
      <c r="I751" s="0" t="n">
        <f aca="false">(($G$1^2*1000)/($E$1*$I$1))*(H751-1)</f>
        <v>3.10136358067957</v>
      </c>
      <c r="J751" s="0" t="n">
        <f aca="false">$J$3*EXP(-$E$1*B751*86.4/$G$1)</f>
        <v>120.837399848884</v>
      </c>
      <c r="K751" s="0" t="n">
        <f aca="false">J750-J751</f>
        <v>0.341882218127097</v>
      </c>
    </row>
    <row r="752" customFormat="false" ht="12.8" hidden="false" customHeight="false" outlineLevel="0" collapsed="false">
      <c r="A752" s="0" t="n">
        <v>1</v>
      </c>
      <c r="B752" s="0" t="n">
        <f aca="false">B751+A752</f>
        <v>749</v>
      </c>
      <c r="C752" s="0" t="n">
        <f aca="false">$C$3+($G$1/($E$1*86.4))*SINH($E$1*B752*86.4/$G$1)</f>
        <v>46051.3788405946</v>
      </c>
      <c r="D752" s="0" t="n">
        <f aca="false">C752-$C$3-B752</f>
        <v>698.378840594574</v>
      </c>
      <c r="E752" s="0" t="n">
        <f aca="false">$E$1*B752*86.4</f>
        <v>634840.416</v>
      </c>
      <c r="F752" s="0" t="n">
        <f aca="false">$G$1*G752</f>
        <v>291413.036249788</v>
      </c>
      <c r="G752" s="0" t="n">
        <f aca="false">TANH($E$1*B752*86.4/$G$1)</f>
        <v>0.971376787499292</v>
      </c>
      <c r="H752" s="0" t="n">
        <f aca="false">COSH($E$1*B752*86.4/$G$1)</f>
        <v>4.20974697293559</v>
      </c>
      <c r="I752" s="0" t="n">
        <f aca="false">(($G$1^2*1000)/($E$1*$I$1))*(H752-1)</f>
        <v>3.11255072881668</v>
      </c>
      <c r="J752" s="0" t="n">
        <f aca="false">$J$3*EXP(-$E$1*B752*86.4/$G$1)</f>
        <v>120.496482180547</v>
      </c>
      <c r="K752" s="0" t="n">
        <f aca="false">J751-J752</f>
        <v>0.340917668337156</v>
      </c>
    </row>
    <row r="753" customFormat="false" ht="12.8" hidden="false" customHeight="false" outlineLevel="0" collapsed="false">
      <c r="A753" s="0" t="n">
        <v>1</v>
      </c>
      <c r="B753" s="0" t="n">
        <f aca="false">B752+A753</f>
        <v>750</v>
      </c>
      <c r="C753" s="0" t="n">
        <f aca="false">$C$3+($G$1/($E$1*86.4))*SINH($E$1*B753*86.4/$G$1)</f>
        <v>46055.5943698107</v>
      </c>
      <c r="D753" s="0" t="n">
        <f aca="false">C753-$C$3-B753</f>
        <v>701.594369810679</v>
      </c>
      <c r="E753" s="0" t="n">
        <f aca="false">$E$1*B753*86.4</f>
        <v>635688</v>
      </c>
      <c r="F753" s="0" t="n">
        <f aca="false">$G$1*G753</f>
        <v>291460.731964458</v>
      </c>
      <c r="G753" s="0" t="n">
        <f aca="false">TANH($E$1*B753*86.4/$G$1)</f>
        <v>0.971535773214859</v>
      </c>
      <c r="H753" s="0" t="n">
        <f aca="false">COSH($E$1*B753*86.4/$G$1)</f>
        <v>4.22131706747944</v>
      </c>
      <c r="I753" s="0" t="n">
        <f aca="false">(($G$1^2*1000)/($E$1*$I$1))*(H753-1)</f>
        <v>3.12377046249308</v>
      </c>
      <c r="J753" s="0" t="n">
        <f aca="false">$J$3*EXP(-$E$1*B753*86.4/$G$1)</f>
        <v>120.156526340722</v>
      </c>
      <c r="K753" s="0" t="n">
        <f aca="false">J752-J753</f>
        <v>0.339955839824313</v>
      </c>
    </row>
    <row r="754" customFormat="false" ht="12.8" hidden="false" customHeight="false" outlineLevel="0" collapsed="false">
      <c r="A754" s="0" t="n">
        <v>1</v>
      </c>
      <c r="B754" s="0" t="n">
        <f aca="false">B753+A754</f>
        <v>751</v>
      </c>
      <c r="C754" s="0" t="n">
        <f aca="false">$C$3+($G$1/($E$1*86.4))*SINH($E$1*B754*86.4/$G$1)</f>
        <v>46059.8214859613</v>
      </c>
      <c r="D754" s="0" t="n">
        <f aca="false">C754-$C$3-B754</f>
        <v>704.821485961344</v>
      </c>
      <c r="E754" s="0" t="n">
        <f aca="false">$E$1*B754*86.4</f>
        <v>636535.584</v>
      </c>
      <c r="F754" s="0" t="n">
        <f aca="false">$G$1*G754</f>
        <v>291508.166560382</v>
      </c>
      <c r="G754" s="0" t="n">
        <f aca="false">TANH($E$1*B754*86.4/$G$1)</f>
        <v>0.971693888534607</v>
      </c>
      <c r="H754" s="0" t="n">
        <f aca="false">COSH($E$1*B754*86.4/$G$1)</f>
        <v>4.23292085747269</v>
      </c>
      <c r="I754" s="0" t="n">
        <f aca="false">(($G$1^2*1000)/($E$1*$I$1))*(H754-1)</f>
        <v>3.13502287126705</v>
      </c>
      <c r="J754" s="0" t="n">
        <f aca="false">$J$3*EXP(-$E$1*B754*86.4/$G$1)</f>
        <v>119.817529615811</v>
      </c>
      <c r="K754" s="0" t="n">
        <f aca="false">J753-J754</f>
        <v>0.338996724911326</v>
      </c>
    </row>
    <row r="755" customFormat="false" ht="12.8" hidden="false" customHeight="false" outlineLevel="0" collapsed="false">
      <c r="A755" s="0" t="n">
        <v>1</v>
      </c>
      <c r="B755" s="0" t="n">
        <f aca="false">B754+A755</f>
        <v>752</v>
      </c>
      <c r="C755" s="0" t="n">
        <f aca="false">$C$3+($G$1/($E$1*86.4))*SINH($E$1*B755*86.4/$G$1)</f>
        <v>46064.0602227883</v>
      </c>
      <c r="D755" s="0" t="n">
        <f aca="false">C755-$C$3-B755</f>
        <v>708.060222788314</v>
      </c>
      <c r="E755" s="0" t="n">
        <f aca="false">$E$1*B755*86.4</f>
        <v>637383.168</v>
      </c>
      <c r="F755" s="0" t="n">
        <f aca="false">$G$1*G755</f>
        <v>291555.341424954</v>
      </c>
      <c r="G755" s="0" t="n">
        <f aca="false">TANH($E$1*B755*86.4/$G$1)</f>
        <v>0.97185113808318</v>
      </c>
      <c r="H755" s="0" t="n">
        <f aca="false">COSH($E$1*B755*86.4/$G$1)</f>
        <v>4.24455843553924</v>
      </c>
      <c r="I755" s="0" t="n">
        <f aca="false">(($G$1^2*1000)/($E$1*$I$1))*(H755-1)</f>
        <v>3.14630804495773</v>
      </c>
      <c r="J755" s="0" t="n">
        <f aca="false">$J$3*EXP(-$E$1*B755*86.4/$G$1)</f>
        <v>119.479489299869</v>
      </c>
      <c r="K755" s="0" t="n">
        <f aca="false">J754-J755</f>
        <v>0.338040315942109</v>
      </c>
    </row>
    <row r="756" customFormat="false" ht="12.8" hidden="false" customHeight="false" outlineLevel="0" collapsed="false">
      <c r="A756" s="0" t="n">
        <v>1</v>
      </c>
      <c r="B756" s="0" t="n">
        <f aca="false">B755+A756</f>
        <v>753</v>
      </c>
      <c r="C756" s="0" t="n">
        <f aca="false">$C$3+($G$1/($E$1*86.4))*SINH($E$1*B756*86.4/$G$1)</f>
        <v>46068.3106141261</v>
      </c>
      <c r="D756" s="0" t="n">
        <f aca="false">C756-$C$3-B756</f>
        <v>711.31061412608</v>
      </c>
      <c r="E756" s="0" t="n">
        <f aca="false">$E$1*B756*86.4</f>
        <v>638230.752</v>
      </c>
      <c r="F756" s="0" t="n">
        <f aca="false">$G$1*G756</f>
        <v>291602.257938662</v>
      </c>
      <c r="G756" s="0" t="n">
        <f aca="false">TANH($E$1*B756*86.4/$G$1)</f>
        <v>0.972007526462208</v>
      </c>
      <c r="H756" s="0" t="n">
        <f aca="false">COSH($E$1*B756*86.4/$G$1)</f>
        <v>4.25622989457271</v>
      </c>
      <c r="I756" s="0" t="n">
        <f aca="false">(($G$1^2*1000)/($E$1*$I$1))*(H756-1)</f>
        <v>3.15762607364576</v>
      </c>
      <c r="J756" s="0" t="n">
        <f aca="false">$J$3*EXP(-$E$1*B756*86.4/$G$1)</f>
        <v>119.142402694586</v>
      </c>
      <c r="K756" s="0" t="n">
        <f aca="false">J755-J756</f>
        <v>0.337086605282508</v>
      </c>
    </row>
    <row r="757" customFormat="false" ht="12.8" hidden="false" customHeight="false" outlineLevel="0" collapsed="false">
      <c r="A757" s="0" t="n">
        <v>1</v>
      </c>
      <c r="B757" s="0" t="n">
        <f aca="false">B756+A757</f>
        <v>754</v>
      </c>
      <c r="C757" s="0" t="n">
        <f aca="false">$C$3+($G$1/($E$1*86.4))*SINH($E$1*B757*86.4/$G$1)</f>
        <v>46072.5726939022</v>
      </c>
      <c r="D757" s="0" t="n">
        <f aca="false">C757-$C$3-B757</f>
        <v>714.57269390217</v>
      </c>
      <c r="E757" s="0" t="n">
        <f aca="false">$E$1*B757*86.4</f>
        <v>639078.336</v>
      </c>
      <c r="F757" s="0" t="n">
        <f aca="false">$G$1*G757</f>
        <v>291648.917475121</v>
      </c>
      <c r="G757" s="0" t="n">
        <f aca="false">TANH($E$1*B757*86.4/$G$1)</f>
        <v>0.972163058250403</v>
      </c>
      <c r="H757" s="0" t="n">
        <f aca="false">COSH($E$1*B757*86.4/$G$1)</f>
        <v>4.26793532773718</v>
      </c>
      <c r="I757" s="0" t="n">
        <f aca="false">(($G$1^2*1000)/($E$1*$I$1))*(H757-1)</f>
        <v>3.16897704767405</v>
      </c>
      <c r="J757" s="0" t="n">
        <f aca="false">$J$3*EXP(-$E$1*B757*86.4/$G$1)</f>
        <v>118.806267109267</v>
      </c>
      <c r="K757" s="0" t="n">
        <f aca="false">J756-J757</f>
        <v>0.336135585319767</v>
      </c>
    </row>
    <row r="758" customFormat="false" ht="12.8" hidden="false" customHeight="false" outlineLevel="0" collapsed="false">
      <c r="A758" s="0" t="n">
        <v>1</v>
      </c>
      <c r="B758" s="0" t="n">
        <f aca="false">B757+A758</f>
        <v>755</v>
      </c>
      <c r="C758" s="0" t="n">
        <f aca="false">$C$3+($G$1/($E$1*86.4))*SINH($E$1*B758*86.4/$G$1)</f>
        <v>46076.8464961374</v>
      </c>
      <c r="D758" s="0" t="n">
        <f aca="false">C758-$C$3-B758</f>
        <v>717.846496137405</v>
      </c>
      <c r="E758" s="0" t="n">
        <f aca="false">$E$1*B758*86.4</f>
        <v>639925.92</v>
      </c>
      <c r="F758" s="0" t="n">
        <f aca="false">$G$1*G758</f>
        <v>291695.321401097</v>
      </c>
      <c r="G758" s="0" t="n">
        <f aca="false">TANH($E$1*B758*86.4/$G$1)</f>
        <v>0.972317738003657</v>
      </c>
      <c r="H758" s="0" t="n">
        <f aca="false">COSH($E$1*B758*86.4/$G$1)</f>
        <v>4.27967482846789</v>
      </c>
      <c r="I758" s="0" t="n">
        <f aca="false">(($G$1^2*1000)/($E$1*$I$1))*(H758-1)</f>
        <v>3.18036105764849</v>
      </c>
      <c r="J758" s="0" t="n">
        <f aca="false">$J$3*EXP(-$E$1*B758*86.4/$G$1)</f>
        <v>118.471079860804</v>
      </c>
      <c r="K758" s="0" t="n">
        <f aca="false">J757-J758</f>
        <v>0.335187248462631</v>
      </c>
    </row>
    <row r="759" customFormat="false" ht="12.8" hidden="false" customHeight="false" outlineLevel="0" collapsed="false">
      <c r="A759" s="0" t="n">
        <v>1</v>
      </c>
      <c r="B759" s="0" t="n">
        <f aca="false">B758+A759</f>
        <v>756</v>
      </c>
      <c r="C759" s="0" t="n">
        <f aca="false">$C$3+($G$1/($E$1*86.4))*SINH($E$1*B759*86.4/$G$1)</f>
        <v>46081.1320549462</v>
      </c>
      <c r="D759" s="0" t="n">
        <f aca="false">C759-$C$3-B759</f>
        <v>721.132054946189</v>
      </c>
      <c r="E759" s="0" t="n">
        <f aca="false">$E$1*B759*86.4</f>
        <v>640773.504</v>
      </c>
      <c r="F759" s="0" t="n">
        <f aca="false">$G$1*G759</f>
        <v>291741.471076541</v>
      </c>
      <c r="G759" s="0" t="n">
        <f aca="false">TANH($E$1*B759*86.4/$G$1)</f>
        <v>0.972471570255136</v>
      </c>
      <c r="H759" s="0" t="n">
        <f aca="false">COSH($E$1*B759*86.4/$G$1)</f>
        <v>4.29144849047204</v>
      </c>
      <c r="I759" s="0" t="n">
        <f aca="false">(($G$1^2*1000)/($E$1*$I$1))*(H759-1)</f>
        <v>3.19177819443866</v>
      </c>
      <c r="J759" s="0" t="n">
        <f aca="false">$J$3*EXP(-$E$1*B759*86.4/$G$1)</f>
        <v>118.136838273663</v>
      </c>
      <c r="K759" s="0" t="n">
        <f aca="false">J758-J759</f>
        <v>0.334241587141378</v>
      </c>
    </row>
    <row r="760" customFormat="false" ht="12.8" hidden="false" customHeight="false" outlineLevel="0" collapsed="false">
      <c r="A760" s="0" t="n">
        <v>1</v>
      </c>
      <c r="B760" s="0" t="n">
        <f aca="false">B759+A760</f>
        <v>757</v>
      </c>
      <c r="C760" s="0" t="n">
        <f aca="false">$C$3+($G$1/($E$1*86.4))*SINH($E$1*B760*86.4/$G$1)</f>
        <v>46085.4294045368</v>
      </c>
      <c r="D760" s="0" t="n">
        <f aca="false">C760-$C$3-B760</f>
        <v>724.429404536764</v>
      </c>
      <c r="E760" s="0" t="n">
        <f aca="false">$E$1*B760*86.4</f>
        <v>641621.088</v>
      </c>
      <c r="F760" s="0" t="n">
        <f aca="false">$G$1*G760</f>
        <v>291787.367854614</v>
      </c>
      <c r="G760" s="0" t="n">
        <f aca="false">TANH($E$1*B760*86.4/$G$1)</f>
        <v>0.972624559515381</v>
      </c>
      <c r="H760" s="0" t="n">
        <f aca="false">COSH($E$1*B760*86.4/$G$1)</f>
        <v>4.30325640772948</v>
      </c>
      <c r="I760" s="0" t="n">
        <f aca="false">(($G$1^2*1000)/($E$1*$I$1))*(H760-1)</f>
        <v>3.20322854917857</v>
      </c>
      <c r="J760" s="0" t="n">
        <f aca="false">$J$3*EXP(-$E$1*B760*86.4/$G$1)</f>
        <v>117.803539679855</v>
      </c>
      <c r="K760" s="0" t="n">
        <f aca="false">J759-J760</f>
        <v>0.333298593807399</v>
      </c>
    </row>
    <row r="761" customFormat="false" ht="12.8" hidden="false" customHeight="false" outlineLevel="0" collapsed="false">
      <c r="A761" s="0" t="n">
        <v>1</v>
      </c>
      <c r="B761" s="0" t="n">
        <f aca="false">B760+A761</f>
        <v>758</v>
      </c>
      <c r="C761" s="0" t="n">
        <f aca="false">$C$3+($G$1/($E$1*86.4))*SINH($E$1*B761*86.4/$G$1)</f>
        <v>46089.7385792115</v>
      </c>
      <c r="D761" s="0" t="n">
        <f aca="false">C761-$C$3-B761</f>
        <v>727.73857921148</v>
      </c>
      <c r="E761" s="0" t="n">
        <f aca="false">$E$1*B761*86.4</f>
        <v>642468.672</v>
      </c>
      <c r="F761" s="0" t="n">
        <f aca="false">$G$1*G761</f>
        <v>291833.01308172</v>
      </c>
      <c r="G761" s="0" t="n">
        <f aca="false">TANH($E$1*B761*86.4/$G$1)</f>
        <v>0.9727767102724</v>
      </c>
      <c r="H761" s="0" t="n">
        <f aca="false">COSH($E$1*B761*86.4/$G$1)</f>
        <v>4.31509867449354</v>
      </c>
      <c r="I761" s="0" t="n">
        <f aca="false">(($G$1^2*1000)/($E$1*$I$1))*(H761-1)</f>
        <v>3.21471221326739</v>
      </c>
      <c r="J761" s="0" t="n">
        <f aca="false">$J$3*EXP(-$E$1*B761*86.4/$G$1)</f>
        <v>117.471181418922</v>
      </c>
      <c r="K761" s="0" t="n">
        <f aca="false">J760-J761</f>
        <v>0.332358260933646</v>
      </c>
    </row>
    <row r="762" customFormat="false" ht="12.8" hidden="false" customHeight="false" outlineLevel="0" collapsed="false">
      <c r="A762" s="0" t="n">
        <v>1</v>
      </c>
      <c r="B762" s="0" t="n">
        <f aca="false">B761+A762</f>
        <v>759</v>
      </c>
      <c r="C762" s="0" t="n">
        <f aca="false">$C$3+($G$1/($E$1*86.4))*SINH($E$1*B762*86.4/$G$1)</f>
        <v>46094.0596133671</v>
      </c>
      <c r="D762" s="0" t="n">
        <f aca="false">C762-$C$3-B762</f>
        <v>731.059613367092</v>
      </c>
      <c r="E762" s="0" t="n">
        <f aca="false">$E$1*B762*86.4</f>
        <v>643316.256</v>
      </c>
      <c r="F762" s="0" t="n">
        <f aca="false">$G$1*G762</f>
        <v>291878.40809753</v>
      </c>
      <c r="G762" s="0" t="n">
        <f aca="false">TANH($E$1*B762*86.4/$G$1)</f>
        <v>0.972928026991766</v>
      </c>
      <c r="H762" s="0" t="n">
        <f aca="false">COSH($E$1*B762*86.4/$G$1)</f>
        <v>4.32697538529169</v>
      </c>
      <c r="I762" s="0" t="n">
        <f aca="false">(($G$1^2*1000)/($E$1*$I$1))*(H762-1)</f>
        <v>3.22622927837016</v>
      </c>
      <c r="J762" s="0" t="n">
        <f aca="false">$J$3*EXP(-$E$1*B762*86.4/$G$1)</f>
        <v>117.139760837908</v>
      </c>
      <c r="K762" s="0" t="n">
        <f aca="false">J761-J762</f>
        <v>0.331420581014044</v>
      </c>
    </row>
    <row r="763" customFormat="false" ht="12.8" hidden="false" customHeight="false" outlineLevel="0" collapsed="false">
      <c r="A763" s="0" t="n">
        <v>1</v>
      </c>
      <c r="B763" s="0" t="n">
        <f aca="false">B762+A763</f>
        <v>760</v>
      </c>
      <c r="C763" s="0" t="n">
        <f aca="false">$C$3+($G$1/($E$1*86.4))*SINH($E$1*B763*86.4/$G$1)</f>
        <v>46098.392541495</v>
      </c>
      <c r="D763" s="0" t="n">
        <f aca="false">C763-$C$3-B763</f>
        <v>734.392541495006</v>
      </c>
      <c r="E763" s="0" t="n">
        <f aca="false">$E$1*B763*86.4</f>
        <v>644163.84</v>
      </c>
      <c r="F763" s="0" t="n">
        <f aca="false">$G$1*G763</f>
        <v>291923.554235015</v>
      </c>
      <c r="G763" s="0" t="n">
        <f aca="false">TANH($E$1*B763*86.4/$G$1)</f>
        <v>0.973078514116715</v>
      </c>
      <c r="H763" s="0" t="n">
        <f aca="false">COSH($E$1*B763*86.4/$G$1)</f>
        <v>4.33888663492636</v>
      </c>
      <c r="I763" s="0" t="n">
        <f aca="false">(($G$1^2*1000)/($E$1*$I$1))*(H763-1)</f>
        <v>3.23777983641855</v>
      </c>
      <c r="J763" s="0" t="n">
        <f aca="false">$J$3*EXP(-$E$1*B763*86.4/$G$1)</f>
        <v>116.809275291344</v>
      </c>
      <c r="K763" s="0" t="n">
        <f aca="false">J762-J763</f>
        <v>0.330485546563992</v>
      </c>
    </row>
    <row r="764" customFormat="false" ht="12.8" hidden="false" customHeight="false" outlineLevel="0" collapsed="false">
      <c r="A764" s="0" t="n">
        <v>1</v>
      </c>
      <c r="B764" s="0" t="n">
        <f aca="false">B763+A764</f>
        <v>761</v>
      </c>
      <c r="C764" s="0" t="n">
        <f aca="false">$C$3+($G$1/($E$1*86.4))*SINH($E$1*B764*86.4/$G$1)</f>
        <v>46102.7373981816</v>
      </c>
      <c r="D764" s="0" t="n">
        <f aca="false">C764-$C$3-B764</f>
        <v>737.737398181576</v>
      </c>
      <c r="E764" s="0" t="n">
        <f aca="false">$E$1*B764*86.4</f>
        <v>645011.424</v>
      </c>
      <c r="F764" s="0" t="n">
        <f aca="false">$G$1*G764</f>
        <v>291968.452820471</v>
      </c>
      <c r="G764" s="0" t="n">
        <f aca="false">TANH($E$1*B764*86.4/$G$1)</f>
        <v>0.973228176068236</v>
      </c>
      <c r="H764" s="0" t="n">
        <f aca="false">COSH($E$1*B764*86.4/$G$1)</f>
        <v>4.35083251847568</v>
      </c>
      <c r="I764" s="0" t="n">
        <f aca="false">(($G$1^2*1000)/($E$1*$I$1))*(H764-1)</f>
        <v>3.24936397961155</v>
      </c>
      <c r="J764" s="0" t="n">
        <f aca="false">$J$3*EXP(-$E$1*B764*86.4/$G$1)</f>
        <v>116.479722141224</v>
      </c>
      <c r="K764" s="0" t="n">
        <f aca="false">J763-J764</f>
        <v>0.329553150119736</v>
      </c>
    </row>
    <row r="765" customFormat="false" ht="12.8" hidden="false" customHeight="false" outlineLevel="0" collapsed="false">
      <c r="A765" s="0" t="n">
        <v>1</v>
      </c>
      <c r="B765" s="0" t="n">
        <f aca="false">B764+A765</f>
        <v>762</v>
      </c>
      <c r="C765" s="0" t="n">
        <f aca="false">$C$3+($G$1/($E$1*86.4))*SINH($E$1*B765*86.4/$G$1)</f>
        <v>46107.0942181084</v>
      </c>
      <c r="D765" s="0" t="n">
        <f aca="false">C765-$C$3-B765</f>
        <v>741.094218108381</v>
      </c>
      <c r="E765" s="0" t="n">
        <f aca="false">$E$1*B765*86.4</f>
        <v>645859.008</v>
      </c>
      <c r="F765" s="0" t="n">
        <f aca="false">$G$1*G765</f>
        <v>292013.105173552</v>
      </c>
      <c r="G765" s="0" t="n">
        <f aca="false">TANH($E$1*B765*86.4/$G$1)</f>
        <v>0.973377017245172</v>
      </c>
      <c r="H765" s="0" t="n">
        <f aca="false">COSH($E$1*B765*86.4/$G$1)</f>
        <v>4.36281313129422</v>
      </c>
      <c r="I765" s="0" t="n">
        <f aca="false">(($G$1^2*1000)/($E$1*$I$1))*(H765-1)</f>
        <v>3.26098180041627</v>
      </c>
      <c r="J765" s="0" t="n">
        <f aca="false">$J$3*EXP(-$E$1*B765*86.4/$G$1)</f>
        <v>116.151098756985</v>
      </c>
      <c r="K765" s="0" t="n">
        <f aca="false">J764-J765</f>
        <v>0.328623384238654</v>
      </c>
    </row>
    <row r="766" customFormat="false" ht="12.8" hidden="false" customHeight="false" outlineLevel="0" collapsed="false">
      <c r="A766" s="0" t="n">
        <v>1</v>
      </c>
      <c r="B766" s="0" t="n">
        <f aca="false">B765+A766</f>
        <v>763</v>
      </c>
      <c r="C766" s="0" t="n">
        <f aca="false">$C$3+($G$1/($E$1*86.4))*SINH($E$1*B766*86.4/$G$1)</f>
        <v>46111.4630360525</v>
      </c>
      <c r="D766" s="0" t="n">
        <f aca="false">C766-$C$3-B766</f>
        <v>744.463036052468</v>
      </c>
      <c r="E766" s="0" t="n">
        <f aca="false">$E$1*B766*86.4</f>
        <v>646706.592</v>
      </c>
      <c r="F766" s="0" t="n">
        <f aca="false">$G$1*G766</f>
        <v>292057.512607293</v>
      </c>
      <c r="G766" s="0" t="n">
        <f aca="false">TANH($E$1*B766*86.4/$G$1)</f>
        <v>0.973525042024311</v>
      </c>
      <c r="H766" s="0" t="n">
        <f aca="false">COSH($E$1*B766*86.4/$G$1)</f>
        <v>4.3748285690138</v>
      </c>
      <c r="I766" s="0" t="n">
        <f aca="false">(($G$1^2*1000)/($E$1*$I$1))*(H766-1)</f>
        <v>3.27263339156861</v>
      </c>
      <c r="J766" s="0" t="n">
        <f aca="false">$J$3*EXP(-$E$1*B766*86.4/$G$1)</f>
        <v>115.823402515486</v>
      </c>
      <c r="K766" s="0" t="n">
        <f aca="false">J765-J766</f>
        <v>0.327696241499325</v>
      </c>
    </row>
    <row r="767" customFormat="false" ht="12.8" hidden="false" customHeight="false" outlineLevel="0" collapsed="false">
      <c r="A767" s="0" t="n">
        <v>1</v>
      </c>
      <c r="B767" s="0" t="n">
        <f aca="false">B766+A767</f>
        <v>764</v>
      </c>
      <c r="C767" s="0" t="n">
        <f aca="false">$C$3+($G$1/($E$1*86.4))*SINH($E$1*B767*86.4/$G$1)</f>
        <v>46115.8438868867</v>
      </c>
      <c r="D767" s="0" t="n">
        <f aca="false">C767-$C$3-B767</f>
        <v>747.843886886672</v>
      </c>
      <c r="E767" s="0" t="n">
        <f aca="false">$E$1*B767*86.4</f>
        <v>647554.176</v>
      </c>
      <c r="F767" s="0" t="n">
        <f aca="false">$G$1*G767</f>
        <v>292101.676428145</v>
      </c>
      <c r="G767" s="0" t="n">
        <f aca="false">TANH($E$1*B767*86.4/$G$1)</f>
        <v>0.973672254760484</v>
      </c>
      <c r="H767" s="0" t="n">
        <f aca="false">COSH($E$1*B767*86.4/$G$1)</f>
        <v>4.38687892754417</v>
      </c>
      <c r="I767" s="0" t="n">
        <f aca="false">(($G$1^2*1000)/($E$1*$I$1))*(H767-1)</f>
        <v>3.28431884607404</v>
      </c>
      <c r="J767" s="0" t="n">
        <f aca="false">$J$3*EXP(-$E$1*B767*86.4/$G$1)</f>
        <v>115.496630800985</v>
      </c>
      <c r="K767" s="0" t="n">
        <f aca="false">J766-J767</f>
        <v>0.326771714500936</v>
      </c>
    </row>
    <row r="768" customFormat="false" ht="12.8" hidden="false" customHeight="false" outlineLevel="0" collapsed="false">
      <c r="A768" s="0" t="n">
        <v>1</v>
      </c>
      <c r="B768" s="0" t="n">
        <f aca="false">B767+A768</f>
        <v>765</v>
      </c>
      <c r="C768" s="0" t="n">
        <f aca="false">$C$3+($G$1/($E$1*86.4))*SINH($E$1*B768*86.4/$G$1)</f>
        <v>46120.2368055799</v>
      </c>
      <c r="D768" s="0" t="n">
        <f aca="false">C768-$C$3-B768</f>
        <v>751.236805579887</v>
      </c>
      <c r="E768" s="0" t="n">
        <f aca="false">$E$1*B768*86.4</f>
        <v>648401.76</v>
      </c>
      <c r="F768" s="0" t="n">
        <f aca="false">$G$1*G768</f>
        <v>292145.597935998</v>
      </c>
      <c r="G768" s="0" t="n">
        <f aca="false">TANH($E$1*B768*86.4/$G$1)</f>
        <v>0.973818659786659</v>
      </c>
      <c r="H768" s="0" t="n">
        <f aca="false">COSH($E$1*B768*86.4/$G$1)</f>
        <v>4.39896430307386</v>
      </c>
      <c r="I768" s="0" t="n">
        <f aca="false">(($G$1^2*1000)/($E$1*$I$1))*(H768-1)</f>
        <v>3.29603825720836</v>
      </c>
      <c r="J768" s="0" t="n">
        <f aca="false">$J$3*EXP(-$E$1*B768*86.4/$G$1)</f>
        <v>115.170781005121</v>
      </c>
      <c r="K768" s="0" t="n">
        <f aca="false">J767-J768</f>
        <v>0.325849795863775</v>
      </c>
    </row>
    <row r="769" customFormat="false" ht="12.8" hidden="false" customHeight="false" outlineLevel="0" collapsed="false">
      <c r="A769" s="0" t="n">
        <v>1</v>
      </c>
      <c r="B769" s="0" t="n">
        <f aca="false">B768+A769</f>
        <v>766</v>
      </c>
      <c r="C769" s="0" t="n">
        <f aca="false">$C$3+($G$1/($E$1*86.4))*SINH($E$1*B769*86.4/$G$1)</f>
        <v>46124.6418271973</v>
      </c>
      <c r="D769" s="0" t="n">
        <f aca="false">C769-$C$3-B769</f>
        <v>754.641827197309</v>
      </c>
      <c r="E769" s="0" t="n">
        <f aca="false">$E$1*B769*86.4</f>
        <v>649249.344</v>
      </c>
      <c r="F769" s="0" t="n">
        <f aca="false">$G$1*G769</f>
        <v>292189.27842421</v>
      </c>
      <c r="G769" s="0" t="n">
        <f aca="false">TANH($E$1*B769*86.4/$G$1)</f>
        <v>0.973964261414033</v>
      </c>
      <c r="H769" s="0" t="n">
        <f aca="false">COSH($E$1*B769*86.4/$G$1)</f>
        <v>4.4110847920709</v>
      </c>
      <c r="I769" s="0" t="n">
        <f aca="false">(($G$1^2*1000)/($E$1*$I$1))*(H769-1)</f>
        <v>3.30779171851838</v>
      </c>
      <c r="J769" s="0" t="n">
        <f aca="false">$J$3*EXP(-$E$1*B769*86.4/$G$1)</f>
        <v>114.845850526892</v>
      </c>
      <c r="K769" s="0" t="n">
        <f aca="false">J768-J769</f>
        <v>0.32493047822885</v>
      </c>
    </row>
    <row r="770" customFormat="false" ht="12.8" hidden="false" customHeight="false" outlineLevel="0" collapsed="false">
      <c r="A770" s="0" t="n">
        <v>1</v>
      </c>
      <c r="B770" s="0" t="n">
        <f aca="false">B769+A770</f>
        <v>767</v>
      </c>
      <c r="C770" s="0" t="n">
        <f aca="false">$C$3+($G$1/($E$1*86.4))*SINH($E$1*B770*86.4/$G$1)</f>
        <v>46129.0589869008</v>
      </c>
      <c r="D770" s="0" t="n">
        <f aca="false">C770-$C$3-B770</f>
        <v>758.05898690076</v>
      </c>
      <c r="E770" s="0" t="n">
        <f aca="false">$E$1*B770*86.4</f>
        <v>650096.928</v>
      </c>
      <c r="F770" s="0" t="n">
        <f aca="false">$G$1*G770</f>
        <v>292232.719179639</v>
      </c>
      <c r="G770" s="0" t="n">
        <f aca="false">TANH($E$1*B770*86.4/$G$1)</f>
        <v>0.974109063932131</v>
      </c>
      <c r="H770" s="0" t="n">
        <f aca="false">COSH($E$1*B770*86.4/$G$1)</f>
        <v>4.42324049128362</v>
      </c>
      <c r="I770" s="0" t="n">
        <f aca="false">(($G$1^2*1000)/($E$1*$I$1))*(H770-1)</f>
        <v>3.31957932382274</v>
      </c>
      <c r="J770" s="0" t="n">
        <f aca="false">$J$3*EXP(-$E$1*B770*86.4/$G$1)</f>
        <v>114.521836772634</v>
      </c>
      <c r="K770" s="0" t="n">
        <f aca="false">J769-J770</f>
        <v>0.324013754258104</v>
      </c>
    </row>
    <row r="771" customFormat="false" ht="12.8" hidden="false" customHeight="false" outlineLevel="0" collapsed="false">
      <c r="A771" s="0" t="n">
        <v>1</v>
      </c>
      <c r="B771" s="0" t="n">
        <f aca="false">B770+A771</f>
        <v>768</v>
      </c>
      <c r="C771" s="0" t="n">
        <f aca="false">$C$3+($G$1/($E$1*86.4))*SINH($E$1*B771*86.4/$G$1)</f>
        <v>46133.488319949</v>
      </c>
      <c r="D771" s="0" t="n">
        <f aca="false">C771-$C$3-B771</f>
        <v>761.488319948956</v>
      </c>
      <c r="E771" s="0" t="n">
        <f aca="false">$E$1*B771*86.4</f>
        <v>650944.512</v>
      </c>
      <c r="F771" s="0" t="n">
        <f aca="false">$G$1*G771</f>
        <v>292275.921482668</v>
      </c>
      <c r="G771" s="0" t="n">
        <f aca="false">TANH($E$1*B771*86.4/$G$1)</f>
        <v>0.974253071608895</v>
      </c>
      <c r="H771" s="0" t="n">
        <f aca="false">COSH($E$1*B771*86.4/$G$1)</f>
        <v>4.43543149774138</v>
      </c>
      <c r="I771" s="0" t="n">
        <f aca="false">(($G$1^2*1000)/($E$1*$I$1))*(H771-1)</f>
        <v>3.3314011672126</v>
      </c>
      <c r="J771" s="0" t="n">
        <f aca="false">$J$3*EXP(-$E$1*B771*86.4/$G$1)</f>
        <v>114.198737156</v>
      </c>
      <c r="K771" s="0" t="n">
        <f aca="false">J770-J771</f>
        <v>0.323099616633868</v>
      </c>
    </row>
    <row r="772" customFormat="false" ht="12.8" hidden="false" customHeight="false" outlineLevel="0" collapsed="false">
      <c r="A772" s="0" t="n">
        <v>1</v>
      </c>
      <c r="B772" s="0" t="n">
        <f aca="false">B771+A772</f>
        <v>769</v>
      </c>
      <c r="C772" s="0" t="n">
        <f aca="false">$C$3+($G$1/($E$1*86.4))*SINH($E$1*B772*86.4/$G$1)</f>
        <v>46137.9298616978</v>
      </c>
      <c r="D772" s="0" t="n">
        <f aca="false">C772-$C$3-B772</f>
        <v>764.929861697761</v>
      </c>
      <c r="E772" s="0" t="n">
        <f aca="false">$E$1*B772*86.4</f>
        <v>651792.096</v>
      </c>
      <c r="F772" s="0" t="n">
        <f aca="false">$G$1*G772</f>
        <v>292318.886607234</v>
      </c>
      <c r="G772" s="0" t="n">
        <f aca="false">TANH($E$1*B772*86.4/$G$1)</f>
        <v>0.97439628869078</v>
      </c>
      <c r="H772" s="0" t="n">
        <f aca="false">COSH($E$1*B772*86.4/$G$1)</f>
        <v>4.44765790875539</v>
      </c>
      <c r="I772" s="0" t="n">
        <f aca="false">(($G$1^2*1000)/($E$1*$I$1))*(H772-1)</f>
        <v>3.34325734305242</v>
      </c>
      <c r="J772" s="0" t="n">
        <f aca="false">$J$3*EXP(-$E$1*B772*86.4/$G$1)</f>
        <v>113.876549097941</v>
      </c>
      <c r="K772" s="0" t="n">
        <f aca="false">J771-J772</f>
        <v>0.32218805805951</v>
      </c>
    </row>
    <row r="773" customFormat="false" ht="12.8" hidden="false" customHeight="false" outlineLevel="0" collapsed="false">
      <c r="A773" s="0" t="n">
        <v>1</v>
      </c>
      <c r="B773" s="0" t="n">
        <f aca="false">B772+A773</f>
        <v>770</v>
      </c>
      <c r="C773" s="0" t="n">
        <f aca="false">$C$3+($G$1/($E$1*86.4))*SINH($E$1*B773*86.4/$G$1)</f>
        <v>46142.3836476005</v>
      </c>
      <c r="D773" s="0" t="n">
        <f aca="false">C773-$C$3-B773</f>
        <v>768.383647600509</v>
      </c>
      <c r="E773" s="0" t="n">
        <f aca="false">$E$1*B773*86.4</f>
        <v>652639.68</v>
      </c>
      <c r="F773" s="0" t="n">
        <f aca="false">$G$1*G773</f>
        <v>292361.615820855</v>
      </c>
      <c r="G773" s="0" t="n">
        <f aca="false">TANH($E$1*B773*86.4/$G$1)</f>
        <v>0.97453871940285</v>
      </c>
      <c r="H773" s="0" t="n">
        <f aca="false">COSH($E$1*B773*86.4/$G$1)</f>
        <v>4.45991982191945</v>
      </c>
      <c r="I773" s="0" t="n">
        <f aca="false">(($G$1^2*1000)/($E$1*$I$1))*(H773-1)</f>
        <v>3.35514794598072</v>
      </c>
      <c r="J773" s="0" t="n">
        <f aca="false">$J$3*EXP(-$E$1*B773*86.4/$G$1)</f>
        <v>113.555270026682</v>
      </c>
      <c r="K773" s="0" t="n">
        <f aca="false">J772-J773</f>
        <v>0.321279071258573</v>
      </c>
    </row>
    <row r="774" customFormat="false" ht="12.8" hidden="false" customHeight="false" outlineLevel="0" collapsed="false">
      <c r="A774" s="0" t="n">
        <v>1</v>
      </c>
      <c r="B774" s="0" t="n">
        <f aca="false">B773+A774</f>
        <v>771</v>
      </c>
      <c r="C774" s="0" t="n">
        <f aca="false">$C$3+($G$1/($E$1*86.4))*SINH($E$1*B774*86.4/$G$1)</f>
        <v>46146.8497132083</v>
      </c>
      <c r="D774" s="0" t="n">
        <f aca="false">C774-$C$3-B774</f>
        <v>771.84971320827</v>
      </c>
      <c r="E774" s="0" t="n">
        <f aca="false">$E$1*B774*86.4</f>
        <v>653487.264</v>
      </c>
      <c r="F774" s="0" t="n">
        <f aca="false">$G$1*G774</f>
        <v>292404.11038466</v>
      </c>
      <c r="G774" s="0" t="n">
        <f aca="false">TANH($E$1*B774*86.4/$G$1)</f>
        <v>0.974680367948866</v>
      </c>
      <c r="H774" s="0" t="n">
        <f aca="false">COSH($E$1*B774*86.4/$G$1)</f>
        <v>4.47221733511077</v>
      </c>
      <c r="I774" s="0" t="n">
        <f aca="false">(($G$1^2*1000)/($E$1*$I$1))*(H774-1)</f>
        <v>3.36707307091083</v>
      </c>
      <c r="J774" s="0" t="n">
        <f aca="false">$J$3*EXP(-$E$1*B774*86.4/$G$1)</f>
        <v>113.234897377707</v>
      </c>
      <c r="K774" s="0" t="n">
        <f aca="false">J773-J774</f>
        <v>0.320372648975436</v>
      </c>
    </row>
    <row r="775" customFormat="false" ht="12.8" hidden="false" customHeight="false" outlineLevel="0" collapsed="false">
      <c r="A775" s="0" t="n">
        <v>1</v>
      </c>
      <c r="B775" s="0" t="n">
        <f aca="false">B774+A775</f>
        <v>772</v>
      </c>
      <c r="C775" s="0" t="n">
        <f aca="false">$C$3+($G$1/($E$1*86.4))*SINH($E$1*B775*86.4/$G$1)</f>
        <v>46151.3280941701</v>
      </c>
      <c r="D775" s="0" t="n">
        <f aca="false">C775-$C$3-B775</f>
        <v>775.328094170123</v>
      </c>
      <c r="E775" s="0" t="n">
        <f aca="false">$E$1*B775*86.4</f>
        <v>654334.848</v>
      </c>
      <c r="F775" s="0" t="n">
        <f aca="false">$G$1*G775</f>
        <v>292446.371553415</v>
      </c>
      <c r="G775" s="0" t="n">
        <f aca="false">TANH($E$1*B775*86.4/$G$1)</f>
        <v>0.974821238511384</v>
      </c>
      <c r="H775" s="0" t="n">
        <f aca="false">COSH($E$1*B775*86.4/$G$1)</f>
        <v>4.4845505464907</v>
      </c>
      <c r="I775" s="0" t="n">
        <f aca="false">(($G$1^2*1000)/($E$1*$I$1))*(H775-1)</f>
        <v>3.3790328130316</v>
      </c>
      <c r="J775" s="0" t="n">
        <f aca="false">$J$3*EXP(-$E$1*B775*86.4/$G$1)</f>
        <v>112.915428593732</v>
      </c>
      <c r="K775" s="0" t="n">
        <f aca="false">J774-J775</f>
        <v>0.319468783974799</v>
      </c>
    </row>
    <row r="776" customFormat="false" ht="12.8" hidden="false" customHeight="false" outlineLevel="0" collapsed="false">
      <c r="A776" s="0" t="n">
        <v>1</v>
      </c>
      <c r="B776" s="0" t="n">
        <f aca="false">B775+A776</f>
        <v>773</v>
      </c>
      <c r="C776" s="0" t="n">
        <f aca="false">$C$3+($G$1/($E$1*86.4))*SINH($E$1*B776*86.4/$G$1)</f>
        <v>46155.8188262335</v>
      </c>
      <c r="D776" s="0" t="n">
        <f aca="false">C776-$C$3-B776</f>
        <v>778.818826233459</v>
      </c>
      <c r="E776" s="0" t="n">
        <f aca="false">$E$1*B776*86.4</f>
        <v>655182.432</v>
      </c>
      <c r="F776" s="0" t="n">
        <f aca="false">$G$1*G776</f>
        <v>292488.400575553</v>
      </c>
      <c r="G776" s="0" t="n">
        <f aca="false">TANH($E$1*B776*86.4/$G$1)</f>
        <v>0.974961335251844</v>
      </c>
      <c r="H776" s="0" t="n">
        <f aca="false">COSH($E$1*B776*86.4/$G$1)</f>
        <v>4.49691955450556</v>
      </c>
      <c r="I776" s="0" t="n">
        <f aca="false">(($G$1^2*1000)/($E$1*$I$1))*(H776-1)</f>
        <v>3.39102726780826</v>
      </c>
      <c r="J776" s="0" t="n">
        <f aca="false">$J$3*EXP(-$E$1*B776*86.4/$G$1)</f>
        <v>112.59686112469</v>
      </c>
      <c r="K776" s="0" t="n">
        <f aca="false">J775-J776</f>
        <v>0.318567469041867</v>
      </c>
    </row>
    <row r="777" customFormat="false" ht="12.8" hidden="false" customHeight="false" outlineLevel="0" collapsed="false">
      <c r="A777" s="0" t="n">
        <v>1</v>
      </c>
      <c r="B777" s="0" t="n">
        <f aca="false">B776+A777</f>
        <v>774</v>
      </c>
      <c r="C777" s="0" t="n">
        <f aca="false">$C$3+($G$1/($E$1*86.4))*SINH($E$1*B777*86.4/$G$1)</f>
        <v>46160.3219452443</v>
      </c>
      <c r="D777" s="0" t="n">
        <f aca="false">C777-$C$3-B777</f>
        <v>782.321945244257</v>
      </c>
      <c r="E777" s="0" t="n">
        <f aca="false">$E$1*B777*86.4</f>
        <v>656030.016</v>
      </c>
      <c r="F777" s="0" t="n">
        <f aca="false">$G$1*G777</f>
        <v>292530.1986932</v>
      </c>
      <c r="G777" s="0" t="n">
        <f aca="false">TANH($E$1*B777*86.4/$G$1)</f>
        <v>0.975100662310667</v>
      </c>
      <c r="H777" s="0" t="n">
        <f aca="false">COSH($E$1*B777*86.4/$G$1)</f>
        <v>4.5093244578874</v>
      </c>
      <c r="I777" s="0" t="n">
        <f aca="false">(($G$1^2*1000)/($E$1*$I$1))*(H777-1)</f>
        <v>3.40305653098308</v>
      </c>
      <c r="J777" s="0" t="n">
        <f aca="false">$J$3*EXP(-$E$1*B777*86.4/$G$1)</f>
        <v>112.279192427708</v>
      </c>
      <c r="K777" s="0" t="n">
        <f aca="false">J776-J777</f>
        <v>0.317668696982196</v>
      </c>
    </row>
    <row r="778" customFormat="false" ht="12.8" hidden="false" customHeight="false" outlineLevel="0" collapsed="false">
      <c r="A778" s="0" t="n">
        <v>1</v>
      </c>
      <c r="B778" s="0" t="n">
        <f aca="false">B777+A778</f>
        <v>775</v>
      </c>
      <c r="C778" s="0" t="n">
        <f aca="false">$C$3+($G$1/($E$1*86.4))*SINH($E$1*B778*86.4/$G$1)</f>
        <v>46164.8374871474</v>
      </c>
      <c r="D778" s="0" t="n">
        <f aca="false">C778-$C$3-B778</f>
        <v>785.837487147364</v>
      </c>
      <c r="E778" s="0" t="n">
        <f aca="false">$E$1*B778*86.4</f>
        <v>656877.6</v>
      </c>
      <c r="F778" s="0" t="n">
        <f aca="false">$G$1*G778</f>
        <v>292571.767142202</v>
      </c>
      <c r="G778" s="0" t="n">
        <f aca="false">TANH($E$1*B778*86.4/$G$1)</f>
        <v>0.975239223807341</v>
      </c>
      <c r="H778" s="0" t="n">
        <f aca="false">COSH($E$1*B778*86.4/$G$1)</f>
        <v>4.52176535565478</v>
      </c>
      <c r="I778" s="0" t="n">
        <f aca="false">(($G$1^2*1000)/($E$1*$I$1))*(H778-1)</f>
        <v>3.4151206985762</v>
      </c>
      <c r="J778" s="0" t="n">
        <f aca="false">$J$3*EXP(-$E$1*B778*86.4/$G$1)</f>
        <v>111.962419967087</v>
      </c>
      <c r="K778" s="0" t="n">
        <f aca="false">J777-J778</f>
        <v>0.316772460621479</v>
      </c>
    </row>
    <row r="779" customFormat="false" ht="12.8" hidden="false" customHeight="false" outlineLevel="0" collapsed="false">
      <c r="A779" s="0" t="n">
        <v>1</v>
      </c>
      <c r="B779" s="0" t="n">
        <f aca="false">B778+A779</f>
        <v>776</v>
      </c>
      <c r="C779" s="0" t="n">
        <f aca="false">$C$3+($G$1/($E$1*86.4))*SINH($E$1*B779*86.4/$G$1)</f>
        <v>46169.3654879868</v>
      </c>
      <c r="D779" s="0" t="n">
        <f aca="false">C779-$C$3-B779</f>
        <v>789.36548798679</v>
      </c>
      <c r="E779" s="0" t="n">
        <f aca="false">$E$1*B779*86.4</f>
        <v>657725.184</v>
      </c>
      <c r="F779" s="0" t="n">
        <f aca="false">$G$1*G779</f>
        <v>292613.107152156</v>
      </c>
      <c r="G779" s="0" t="n">
        <f aca="false">TANH($E$1*B779*86.4/$G$1)</f>
        <v>0.975377023840521</v>
      </c>
      <c r="H779" s="0" t="n">
        <f aca="false">COSH($E$1*B779*86.4/$G$1)</f>
        <v>4.53424234711361</v>
      </c>
      <c r="I779" s="0" t="n">
        <f aca="false">(($G$1^2*1000)/($E$1*$I$1))*(H779-1)</f>
        <v>3.42721986688637</v>
      </c>
      <c r="J779" s="0" t="n">
        <f aca="false">$J$3*EXP(-$E$1*B779*86.4/$G$1)</f>
        <v>111.646541214281</v>
      </c>
      <c r="K779" s="0" t="n">
        <f aca="false">J778-J779</f>
        <v>0.31587875280583</v>
      </c>
    </row>
    <row r="780" customFormat="false" ht="12.8" hidden="false" customHeight="false" outlineLevel="0" collapsed="false">
      <c r="A780" s="0" t="n">
        <v>1</v>
      </c>
      <c r="B780" s="0" t="n">
        <f aca="false">B779+A780</f>
        <v>777</v>
      </c>
      <c r="C780" s="0" t="n">
        <f aca="false">$C$3+($G$1/($E$1*86.4))*SINH($E$1*B780*86.4/$G$1)</f>
        <v>46173.905983906</v>
      </c>
      <c r="D780" s="0" t="n">
        <f aca="false">C780-$C$3-B780</f>
        <v>792.905983906014</v>
      </c>
      <c r="E780" s="0" t="n">
        <f aca="false">$E$1*B780*86.4</f>
        <v>658572.768</v>
      </c>
      <c r="F780" s="0" t="n">
        <f aca="false">$G$1*G780</f>
        <v>292654.219946434</v>
      </c>
      <c r="G780" s="0" t="n">
        <f aca="false">TANH($E$1*B780*86.4/$G$1)</f>
        <v>0.975514066488112</v>
      </c>
      <c r="H780" s="0" t="n">
        <f aca="false">COSH($E$1*B780*86.4/$G$1)</f>
        <v>4.54675553185786</v>
      </c>
      <c r="I780" s="0" t="n">
        <f aca="false">(($G$1^2*1000)/($E$1*$I$1))*(H780-1)</f>
        <v>3.43935413249172</v>
      </c>
      <c r="J780" s="0" t="n">
        <f aca="false">$J$3*EXP(-$E$1*B780*86.4/$G$1)</f>
        <v>111.331553647879</v>
      </c>
      <c r="K780" s="0" t="n">
        <f aca="false">J779-J780</f>
        <v>0.314987566401456</v>
      </c>
    </row>
    <row r="781" customFormat="false" ht="12.8" hidden="false" customHeight="false" outlineLevel="0" collapsed="false">
      <c r="A781" s="0" t="n">
        <v>1</v>
      </c>
      <c r="B781" s="0" t="n">
        <f aca="false">B780+A781</f>
        <v>778</v>
      </c>
      <c r="C781" s="0" t="n">
        <f aca="false">$C$3+($G$1/($E$1*86.4))*SINH($E$1*B781*86.4/$G$1)</f>
        <v>46178.4590111482</v>
      </c>
      <c r="D781" s="0" t="n">
        <f aca="false">C781-$C$3-B781</f>
        <v>796.459011148225</v>
      </c>
      <c r="E781" s="0" t="n">
        <f aca="false">$E$1*B781*86.4</f>
        <v>659420.352</v>
      </c>
      <c r="F781" s="0" t="n">
        <f aca="false">$G$1*G781</f>
        <v>292695.106742211</v>
      </c>
      <c r="G781" s="0" t="n">
        <f aca="false">TANH($E$1*B781*86.4/$G$1)</f>
        <v>0.97565035580737</v>
      </c>
      <c r="H781" s="0" t="n">
        <f aca="false">COSH($E$1*B781*86.4/$G$1)</f>
        <v>4.55930500977045</v>
      </c>
      <c r="I781" s="0" t="n">
        <f aca="false">(($G$1^2*1000)/($E$1*$I$1))*(H781-1)</f>
        <v>3.45152359225052</v>
      </c>
      <c r="J781" s="0" t="n">
        <f aca="false">$J$3*EXP(-$E$1*B781*86.4/$G$1)</f>
        <v>111.017454753585</v>
      </c>
      <c r="K781" s="0" t="n">
        <f aca="false">J780-J781</f>
        <v>0.314098894294702</v>
      </c>
    </row>
    <row r="782" customFormat="false" ht="12.8" hidden="false" customHeight="false" outlineLevel="0" collapsed="false">
      <c r="A782" s="0" t="n">
        <v>1</v>
      </c>
      <c r="B782" s="0" t="n">
        <f aca="false">B781+A782</f>
        <v>779</v>
      </c>
      <c r="C782" s="0" t="n">
        <f aca="false">$C$3+($G$1/($E$1*86.4))*SINH($E$1*B782*86.4/$G$1)</f>
        <v>46183.0246060567</v>
      </c>
      <c r="D782" s="0" t="n">
        <f aca="false">C782-$C$3-B782</f>
        <v>800.024606056664</v>
      </c>
      <c r="E782" s="0" t="n">
        <f aca="false">$E$1*B782*86.4</f>
        <v>660267.936</v>
      </c>
      <c r="F782" s="0" t="n">
        <f aca="false">$G$1*G782</f>
        <v>292735.768750496</v>
      </c>
      <c r="G782" s="0" t="n">
        <f aca="false">TANH($E$1*B782*86.4/$G$1)</f>
        <v>0.975785895834986</v>
      </c>
      <c r="H782" s="0" t="n">
        <f aca="false">COSH($E$1*B782*86.4/$G$1)</f>
        <v>4.57189088102397</v>
      </c>
      <c r="I782" s="0" t="n">
        <f aca="false">(($G$1^2*1000)/($E$1*$I$1))*(H782-1)</f>
        <v>3.46372834330201</v>
      </c>
      <c r="J782" s="0" t="n">
        <f aca="false">$J$3*EXP(-$E$1*B782*86.4/$G$1)</f>
        <v>110.704242024192</v>
      </c>
      <c r="K782" s="0" t="n">
        <f aca="false">J781-J782</f>
        <v>0.313212729392134</v>
      </c>
    </row>
    <row r="783" customFormat="false" ht="12.8" hidden="false" customHeight="false" outlineLevel="0" collapsed="false">
      <c r="A783" s="0" t="n">
        <v>1</v>
      </c>
      <c r="B783" s="0" t="n">
        <f aca="false">B782+A783</f>
        <v>780</v>
      </c>
      <c r="C783" s="0" t="n">
        <f aca="false">$C$3+($G$1/($E$1*86.4))*SINH($E$1*B783*86.4/$G$1)</f>
        <v>46187.6028050749</v>
      </c>
      <c r="D783" s="0" t="n">
        <f aca="false">C783-$C$3-B783</f>
        <v>803.602805074872</v>
      </c>
      <c r="E783" s="0" t="n">
        <f aca="false">$E$1*B783*86.4</f>
        <v>661115.52</v>
      </c>
      <c r="F783" s="0" t="n">
        <f aca="false">$G$1*G783</f>
        <v>292776.207176154</v>
      </c>
      <c r="G783" s="0" t="n">
        <f aca="false">TANH($E$1*B783*86.4/$G$1)</f>
        <v>0.975920690587179</v>
      </c>
      <c r="H783" s="0" t="n">
        <f aca="false">COSH($E$1*B783*86.4/$G$1)</f>
        <v>4.58451324608151</v>
      </c>
      <c r="I783" s="0" t="n">
        <f aca="false">(($G$1^2*1000)/($E$1*$I$1))*(H783-1)</f>
        <v>3.47596848306708</v>
      </c>
      <c r="J783" s="0" t="n">
        <f aca="false">$J$3*EXP(-$E$1*B783*86.4/$G$1)</f>
        <v>110.391912959572</v>
      </c>
      <c r="K783" s="0" t="n">
        <f aca="false">J782-J783</f>
        <v>0.312329064619988</v>
      </c>
    </row>
    <row r="784" customFormat="false" ht="12.8" hidden="false" customHeight="false" outlineLevel="0" collapsed="false">
      <c r="A784" s="0" t="n">
        <v>1</v>
      </c>
      <c r="B784" s="0" t="n">
        <f aca="false">B783+A784</f>
        <v>781</v>
      </c>
      <c r="C784" s="0" t="n">
        <f aca="false">$C$3+($G$1/($E$1*86.4))*SINH($E$1*B784*86.4/$G$1)</f>
        <v>46192.193644747</v>
      </c>
      <c r="D784" s="0" t="n">
        <f aca="false">C784-$C$3-B784</f>
        <v>807.193644747007</v>
      </c>
      <c r="E784" s="0" t="n">
        <f aca="false">$E$1*B784*86.4</f>
        <v>661963.104</v>
      </c>
      <c r="F784" s="0" t="n">
        <f aca="false">$G$1*G784</f>
        <v>292816.423217937</v>
      </c>
      <c r="G784" s="0" t="n">
        <f aca="false">TANH($E$1*B784*86.4/$G$1)</f>
        <v>0.97605474405979</v>
      </c>
      <c r="H784" s="0" t="n">
        <f aca="false">COSH($E$1*B784*86.4/$G$1)</f>
        <v>4.59717220569748</v>
      </c>
      <c r="I784" s="0" t="n">
        <f aca="false">(($G$1^2*1000)/($E$1*$I$1))*(H784-1)</f>
        <v>3.48824410924914</v>
      </c>
      <c r="J784" s="0" t="n">
        <f aca="false">$J$3*EXP(-$E$1*B784*86.4/$G$1)</f>
        <v>110.080465066648</v>
      </c>
      <c r="K784" s="0" t="n">
        <f aca="false">J783-J784</f>
        <v>0.311447892924875</v>
      </c>
    </row>
    <row r="785" customFormat="false" ht="12.8" hidden="false" customHeight="false" outlineLevel="0" collapsed="false">
      <c r="A785" s="0" t="n">
        <v>1</v>
      </c>
      <c r="B785" s="0" t="n">
        <f aca="false">B784+A785</f>
        <v>782</v>
      </c>
      <c r="C785" s="0" t="n">
        <f aca="false">$C$3+($G$1/($E$1*86.4))*SINH($E$1*B785*86.4/$G$1)</f>
        <v>46196.7971617181</v>
      </c>
      <c r="D785" s="0" t="n">
        <f aca="false">C785-$C$3-B785</f>
        <v>810.797161718132</v>
      </c>
      <c r="E785" s="0" t="n">
        <f aca="false">$E$1*B785*86.4</f>
        <v>662810.688</v>
      </c>
      <c r="F785" s="0" t="n">
        <f aca="false">$G$1*G785</f>
        <v>292856.41806851</v>
      </c>
      <c r="G785" s="0" t="n">
        <f aca="false">TANH($E$1*B785*86.4/$G$1)</f>
        <v>0.976188060228367</v>
      </c>
      <c r="H785" s="0" t="n">
        <f aca="false">COSH($E$1*B785*86.4/$G$1)</f>
        <v>4.60986786091838</v>
      </c>
      <c r="I785" s="0" t="n">
        <f aca="false">(($G$1^2*1000)/($E$1*$I$1))*(H785-1)</f>
        <v>3.50055531983484</v>
      </c>
      <c r="J785" s="0" t="n">
        <f aca="false">$J$3*EXP(-$E$1*B785*86.4/$G$1)</f>
        <v>109.769895859375</v>
      </c>
      <c r="K785" s="0" t="n">
        <f aca="false">J784-J785</f>
        <v>0.310569207272934</v>
      </c>
    </row>
    <row r="786" customFormat="false" ht="12.8" hidden="false" customHeight="false" outlineLevel="0" collapsed="false">
      <c r="A786" s="0" t="n">
        <v>1</v>
      </c>
      <c r="B786" s="0" t="n">
        <f aca="false">B785+A786</f>
        <v>783</v>
      </c>
      <c r="C786" s="0" t="n">
        <f aca="false">$C$3+($G$1/($E$1*86.4))*SINH($E$1*B786*86.4/$G$1)</f>
        <v>46201.4133927345</v>
      </c>
      <c r="D786" s="0" t="n">
        <f aca="false">C786-$C$3-B786</f>
        <v>814.413392734496</v>
      </c>
      <c r="E786" s="0" t="n">
        <f aca="false">$E$1*B786*86.4</f>
        <v>663658.272</v>
      </c>
      <c r="F786" s="0" t="n">
        <f aca="false">$G$1*G786</f>
        <v>292896.192914479</v>
      </c>
      <c r="G786" s="0" t="n">
        <f aca="false">TANH($E$1*B786*86.4/$G$1)</f>
        <v>0.976320643048262</v>
      </c>
      <c r="H786" s="0" t="n">
        <f aca="false">COSH($E$1*B786*86.4/$G$1)</f>
        <v>4.62260031308363</v>
      </c>
      <c r="I786" s="0" t="n">
        <f aca="false">(($G$1^2*1000)/($E$1*$I$1))*(H786-1)</f>
        <v>3.51290221309488</v>
      </c>
      <c r="J786" s="0" t="n">
        <f aca="false">$J$3*EXP(-$E$1*B786*86.4/$G$1)</f>
        <v>109.460202858724</v>
      </c>
      <c r="K786" s="0" t="n">
        <f aca="false">J785-J786</f>
        <v>0.30969300065037</v>
      </c>
    </row>
    <row r="787" customFormat="false" ht="12.8" hidden="false" customHeight="false" outlineLevel="0" collapsed="false">
      <c r="A787" s="0" t="n">
        <v>1</v>
      </c>
      <c r="B787" s="0" t="n">
        <f aca="false">B786+A787</f>
        <v>784</v>
      </c>
      <c r="C787" s="0" t="n">
        <f aca="false">$C$3+($G$1/($E$1*86.4))*SINH($E$1*B787*86.4/$G$1)</f>
        <v>46206.0423746438</v>
      </c>
      <c r="D787" s="0" t="n">
        <f aca="false">C787-$C$3-B787</f>
        <v>818.042374643825</v>
      </c>
      <c r="E787" s="0" t="n">
        <f aca="false">$E$1*B787*86.4</f>
        <v>664505.856</v>
      </c>
      <c r="F787" s="0" t="n">
        <f aca="false">$G$1*G787</f>
        <v>292935.748936414</v>
      </c>
      <c r="G787" s="0" t="n">
        <f aca="false">TANH($E$1*B787*86.4/$G$1)</f>
        <v>0.976452496454714</v>
      </c>
      <c r="H787" s="0" t="n">
        <f aca="false">COSH($E$1*B787*86.4/$G$1)</f>
        <v>4.63536966382636</v>
      </c>
      <c r="I787" s="0" t="n">
        <f aca="false">(($G$1^2*1000)/($E$1*$I$1))*(H787-1)</f>
        <v>3.52528488758478</v>
      </c>
      <c r="J787" s="0" t="n">
        <f aca="false">$J$3*EXP(-$E$1*B787*86.4/$G$1)</f>
        <v>109.151383592661</v>
      </c>
      <c r="K787" s="0" t="n">
        <f aca="false">J786-J787</f>
        <v>0.308819266063068</v>
      </c>
    </row>
    <row r="788" customFormat="false" ht="12.8" hidden="false" customHeight="false" outlineLevel="0" collapsed="false">
      <c r="A788" s="0" t="n">
        <v>1</v>
      </c>
      <c r="B788" s="0" t="n">
        <f aca="false">B787+A788</f>
        <v>785</v>
      </c>
      <c r="C788" s="0" t="n">
        <f aca="false">$C$3+($G$1/($E$1*86.4))*SINH($E$1*B788*86.4/$G$1)</f>
        <v>46210.6841443956</v>
      </c>
      <c r="D788" s="0" t="n">
        <f aca="false">C788-$C$3-B788</f>
        <v>821.684144395644</v>
      </c>
      <c r="E788" s="0" t="n">
        <f aca="false">$E$1*B788*86.4</f>
        <v>665353.44</v>
      </c>
      <c r="F788" s="0" t="n">
        <f aca="false">$G$1*G788</f>
        <v>292975.087308884</v>
      </c>
      <c r="G788" s="0" t="n">
        <f aca="false">TANH($E$1*B788*86.4/$G$1)</f>
        <v>0.976583624362946</v>
      </c>
      <c r="H788" s="0" t="n">
        <f aca="false">COSH($E$1*B788*86.4/$G$1)</f>
        <v>4.64817601507425</v>
      </c>
      <c r="I788" s="0" t="n">
        <f aca="false">(($G$1^2*1000)/($E$1*$I$1))*(H788-1)</f>
        <v>3.53770344214568</v>
      </c>
      <c r="J788" s="0" t="n">
        <f aca="false">$J$3*EXP(-$E$1*B788*86.4/$G$1)</f>
        <v>108.843435596124</v>
      </c>
      <c r="K788" s="0" t="n">
        <f aca="false">J787-J788</f>
        <v>0.307947996536839</v>
      </c>
    </row>
    <row r="789" customFormat="false" ht="12.8" hidden="false" customHeight="false" outlineLevel="0" collapsed="false">
      <c r="A789" s="0" t="n">
        <v>1</v>
      </c>
      <c r="B789" s="0" t="n">
        <f aca="false">B788+A789</f>
        <v>786</v>
      </c>
      <c r="C789" s="0" t="n">
        <f aca="false">$C$3+($G$1/($E$1*86.4))*SINH($E$1*B789*86.4/$G$1)</f>
        <v>46215.3387390415</v>
      </c>
      <c r="D789" s="0" t="n">
        <f aca="false">C789-$C$3-B789</f>
        <v>825.338739041545</v>
      </c>
      <c r="E789" s="0" t="n">
        <f aca="false">$E$1*B789*86.4</f>
        <v>666201.024</v>
      </c>
      <c r="F789" s="0" t="n">
        <f aca="false">$G$1*G789</f>
        <v>293014.209200474</v>
      </c>
      <c r="G789" s="0" t="n">
        <f aca="false">TANH($E$1*B789*86.4/$G$1)</f>
        <v>0.976714030668247</v>
      </c>
      <c r="H789" s="0" t="n">
        <f aca="false">COSH($E$1*B789*86.4/$G$1)</f>
        <v>4.6610194690503</v>
      </c>
      <c r="I789" s="0" t="n">
        <f aca="false">(($G$1^2*1000)/($E$1*$I$1))*(H789-1)</f>
        <v>3.55015797590512</v>
      </c>
      <c r="J789" s="0" t="n">
        <f aca="false">$J$3*EXP(-$E$1*B789*86.4/$G$1)</f>
        <v>108.536356411008</v>
      </c>
      <c r="K789" s="0" t="n">
        <f aca="false">J788-J789</f>
        <v>0.30707918511682</v>
      </c>
    </row>
    <row r="790" customFormat="false" ht="12.8" hidden="false" customHeight="false" outlineLevel="0" collapsed="false">
      <c r="A790" s="0" t="n">
        <v>1</v>
      </c>
      <c r="B790" s="0" t="n">
        <f aca="false">B789+A790</f>
        <v>787</v>
      </c>
      <c r="C790" s="0" t="n">
        <f aca="false">$C$3+($G$1/($E$1*86.4))*SINH($E$1*B790*86.4/$G$1)</f>
        <v>46220.0061957355</v>
      </c>
      <c r="D790" s="0" t="n">
        <f aca="false">C790-$C$3-B790</f>
        <v>829.006195735492</v>
      </c>
      <c r="E790" s="0" t="n">
        <f aca="false">$E$1*B790*86.4</f>
        <v>667048.608</v>
      </c>
      <c r="F790" s="0" t="n">
        <f aca="false">$G$1*G790</f>
        <v>293053.115773821</v>
      </c>
      <c r="G790" s="0" t="n">
        <f aca="false">TANH($E$1*B790*86.4/$G$1)</f>
        <v>0.976843719246069</v>
      </c>
      <c r="H790" s="0" t="n">
        <f aca="false">COSH($E$1*B790*86.4/$G$1)</f>
        <v>4.67390012827371</v>
      </c>
      <c r="I790" s="0" t="n">
        <f aca="false">(($G$1^2*1000)/($E$1*$I$1))*(H790-1)</f>
        <v>3.56264858827784</v>
      </c>
      <c r="J790" s="0" t="n">
        <f aca="false">$J$3*EXP(-$E$1*B790*86.4/$G$1)</f>
        <v>108.230143586139</v>
      </c>
      <c r="K790" s="0" t="n">
        <f aca="false">J789-J790</f>
        <v>0.306212824868155</v>
      </c>
    </row>
    <row r="791" customFormat="false" ht="12.8" hidden="false" customHeight="false" outlineLevel="0" collapsed="false">
      <c r="A791" s="0" t="n">
        <v>1</v>
      </c>
      <c r="B791" s="0" t="n">
        <f aca="false">B790+A791</f>
        <v>788</v>
      </c>
      <c r="C791" s="0" t="n">
        <f aca="false">$C$3+($G$1/($E$1*86.4))*SINH($E$1*B791*86.4/$G$1)</f>
        <v>46224.6865517341</v>
      </c>
      <c r="D791" s="0" t="n">
        <f aca="false">C791-$C$3-B791</f>
        <v>832.686551734107</v>
      </c>
      <c r="E791" s="0" t="n">
        <f aca="false">$E$1*B791*86.4</f>
        <v>667896.192</v>
      </c>
      <c r="F791" s="0" t="n">
        <f aca="false">$G$1*G791</f>
        <v>293091.808185633</v>
      </c>
      <c r="G791" s="0" t="n">
        <f aca="false">TANH($E$1*B791*86.4/$G$1)</f>
        <v>0.97697269395211</v>
      </c>
      <c r="H791" s="0" t="n">
        <f aca="false">COSH($E$1*B791*86.4/$G$1)</f>
        <v>4.68681809556061</v>
      </c>
      <c r="I791" s="0" t="n">
        <f aca="false">(($G$1^2*1000)/($E$1*$I$1))*(H791-1)</f>
        <v>3.57517537896655</v>
      </c>
      <c r="J791" s="0" t="n">
        <f aca="false">$J$3*EXP(-$E$1*B791*86.4/$G$1)</f>
        <v>107.924794677264</v>
      </c>
      <c r="K791" s="0" t="n">
        <f aca="false">J790-J791</f>
        <v>0.305348908875274</v>
      </c>
    </row>
    <row r="792" customFormat="false" ht="12.8" hidden="false" customHeight="false" outlineLevel="0" collapsed="false">
      <c r="A792" s="0" t="n">
        <v>1</v>
      </c>
      <c r="B792" s="0" t="n">
        <f aca="false">B791+A792</f>
        <v>789</v>
      </c>
      <c r="C792" s="0" t="n">
        <f aca="false">$C$3+($G$1/($E$1*86.4))*SINH($E$1*B792*86.4/$G$1)</f>
        <v>46229.379844397</v>
      </c>
      <c r="D792" s="0" t="n">
        <f aca="false">C792-$C$3-B792</f>
        <v>836.379844397001</v>
      </c>
      <c r="E792" s="0" t="n">
        <f aca="false">$E$1*B792*86.4</f>
        <v>668743.776</v>
      </c>
      <c r="F792" s="0" t="n">
        <f aca="false">$G$1*G792</f>
        <v>293130.287586722</v>
      </c>
      <c r="G792" s="0" t="n">
        <f aca="false">TANH($E$1*B792*86.4/$G$1)</f>
        <v>0.977100958622405</v>
      </c>
      <c r="H792" s="0" t="n">
        <f aca="false">COSH($E$1*B792*86.4/$G$1)</f>
        <v>4.69977347402498</v>
      </c>
      <c r="I792" s="0" t="n">
        <f aca="false">(($G$1^2*1000)/($E$1*$I$1))*(H792-1)</f>
        <v>3.58773844796276</v>
      </c>
      <c r="J792" s="0" t="n">
        <f aca="false">$J$3*EXP(-$E$1*B792*86.4/$G$1)</f>
        <v>107.620307247022</v>
      </c>
      <c r="K792" s="0" t="n">
        <f aca="false">J791-J792</f>
        <v>0.304487430242176</v>
      </c>
    </row>
    <row r="793" customFormat="false" ht="12.8" hidden="false" customHeight="false" outlineLevel="0" collapsed="false">
      <c r="A793" s="0" t="n">
        <v>1</v>
      </c>
      <c r="B793" s="0" t="n">
        <f aca="false">B792+A793</f>
        <v>790</v>
      </c>
      <c r="C793" s="0" t="n">
        <f aca="false">$C$3+($G$1/($E$1*86.4))*SINH($E$1*B793*86.4/$G$1)</f>
        <v>46234.086111187</v>
      </c>
      <c r="D793" s="0" t="n">
        <f aca="false">C793-$C$3-B793</f>
        <v>840.086111187018</v>
      </c>
      <c r="E793" s="0" t="n">
        <f aca="false">$E$1*B793*86.4</f>
        <v>669591.36</v>
      </c>
      <c r="F793" s="0" t="n">
        <f aca="false">$G$1*G793</f>
        <v>293168.555122025</v>
      </c>
      <c r="G793" s="0" t="n">
        <f aca="false">TANH($E$1*B793*86.4/$G$1)</f>
        <v>0.977228517073416</v>
      </c>
      <c r="H793" s="0" t="n">
        <f aca="false">COSH($E$1*B793*86.4/$G$1)</f>
        <v>4.71276636707939</v>
      </c>
      <c r="I793" s="0" t="n">
        <f aca="false">(($G$1^2*1000)/($E$1*$I$1))*(H793-1)</f>
        <v>3.60033789554755</v>
      </c>
      <c r="J793" s="0" t="n">
        <f aca="false">$J$3*EXP(-$E$1*B793*86.4/$G$1)</f>
        <v>107.316678864929</v>
      </c>
      <c r="K793" s="0" t="n">
        <f aca="false">J792-J793</f>
        <v>0.303628382092512</v>
      </c>
    </row>
    <row r="794" customFormat="false" ht="12.8" hidden="false" customHeight="false" outlineLevel="0" collapsed="false">
      <c r="A794" s="0" t="n">
        <v>1</v>
      </c>
      <c r="B794" s="0" t="n">
        <f aca="false">B793+A794</f>
        <v>791</v>
      </c>
      <c r="C794" s="0" t="n">
        <f aca="false">$C$3+($G$1/($E$1*86.4))*SINH($E$1*B794*86.4/$G$1)</f>
        <v>46238.8053896706</v>
      </c>
      <c r="D794" s="0" t="n">
        <f aca="false">C794-$C$3-B794</f>
        <v>843.80538967059</v>
      </c>
      <c r="E794" s="0" t="n">
        <f aca="false">$E$1*B794*86.4</f>
        <v>670438.944</v>
      </c>
      <c r="F794" s="0" t="n">
        <f aca="false">$G$1*G794</f>
        <v>293206.611930635</v>
      </c>
      <c r="G794" s="0" t="n">
        <f aca="false">TANH($E$1*B794*86.4/$G$1)</f>
        <v>0.977355373102117</v>
      </c>
      <c r="H794" s="0" t="n">
        <f aca="false">COSH($E$1*B794*86.4/$G$1)</f>
        <v>4.72579687843588</v>
      </c>
      <c r="I794" s="0" t="n">
        <f aca="false">(($G$1^2*1000)/($E$1*$I$1))*(H794-1)</f>
        <v>3.61297382229239</v>
      </c>
      <c r="J794" s="0" t="n">
        <f aca="false">$J$3*EXP(-$E$1*B794*86.4/$G$1)</f>
        <v>107.01390710736</v>
      </c>
      <c r="K794" s="0" t="n">
        <f aca="false">J793-J794</f>
        <v>0.302771757568976</v>
      </c>
    </row>
    <row r="795" customFormat="false" ht="12.8" hidden="false" customHeight="false" outlineLevel="0" collapsed="false">
      <c r="A795" s="0" t="n">
        <v>1</v>
      </c>
      <c r="B795" s="0" t="n">
        <f aca="false">B794+A795</f>
        <v>792</v>
      </c>
      <c r="C795" s="0" t="n">
        <f aca="false">$C$3+($G$1/($E$1*86.4))*SINH($E$1*B795*86.4/$G$1)</f>
        <v>46243.537717518</v>
      </c>
      <c r="D795" s="0" t="n">
        <f aca="false">C795-$C$3-B795</f>
        <v>847.537717517989</v>
      </c>
      <c r="E795" s="0" t="n">
        <f aca="false">$E$1*B795*86.4</f>
        <v>671286.528</v>
      </c>
      <c r="F795" s="0" t="n">
        <f aca="false">$G$1*G795</f>
        <v>293244.459145826</v>
      </c>
      <c r="G795" s="0" t="n">
        <f aca="false">TANH($E$1*B795*86.4/$G$1)</f>
        <v>0.977481530486086</v>
      </c>
      <c r="H795" s="0" t="n">
        <f aca="false">COSH($E$1*B795*86.4/$G$1)</f>
        <v>4.73886511210676</v>
      </c>
      <c r="I795" s="0" t="n">
        <f aca="false">(($G$1^2*1000)/($E$1*$I$1))*(H795-1)</f>
        <v>3.62564632905994</v>
      </c>
      <c r="J795" s="0" t="n">
        <f aca="false">$J$3*EXP(-$E$1*B795*86.4/$G$1)</f>
        <v>106.711989557526</v>
      </c>
      <c r="K795" s="0" t="n">
        <f aca="false">J794-J795</f>
        <v>0.301917549834045</v>
      </c>
    </row>
    <row r="796" customFormat="false" ht="12.8" hidden="false" customHeight="false" outlineLevel="0" collapsed="false">
      <c r="A796" s="0" t="n">
        <v>1</v>
      </c>
      <c r="B796" s="0" t="n">
        <f aca="false">B795+A796</f>
        <v>793</v>
      </c>
      <c r="C796" s="0" t="n">
        <f aca="false">$C$3+($G$1/($E$1*86.4))*SINH($E$1*B796*86.4/$G$1)</f>
        <v>46248.2831325037</v>
      </c>
      <c r="D796" s="0" t="n">
        <f aca="false">C796-$C$3-B796</f>
        <v>851.283132503675</v>
      </c>
      <c r="E796" s="0" t="n">
        <f aca="false">$E$1*B796*86.4</f>
        <v>672134.112</v>
      </c>
      <c r="F796" s="0" t="n">
        <f aca="false">$G$1*G796</f>
        <v>293282.097895077</v>
      </c>
      <c r="G796" s="0" t="n">
        <f aca="false">TANH($E$1*B796*86.4/$G$1)</f>
        <v>0.977606992983589</v>
      </c>
      <c r="H796" s="0" t="n">
        <f aca="false">COSH($E$1*B796*86.4/$G$1)</f>
        <v>4.75197117240544</v>
      </c>
      <c r="I796" s="0" t="n">
        <f aca="false">(($G$1^2*1000)/($E$1*$I$1))*(H796-1)</f>
        <v>3.63835551700483</v>
      </c>
      <c r="J796" s="0" t="n">
        <f aca="false">$J$3*EXP(-$E$1*B796*86.4/$G$1)</f>
        <v>106.410923805457</v>
      </c>
      <c r="K796" s="0" t="n">
        <f aca="false">J795-J796</f>
        <v>0.301065752069022</v>
      </c>
    </row>
    <row r="797" customFormat="false" ht="12.8" hidden="false" customHeight="false" outlineLevel="0" collapsed="false">
      <c r="A797" s="0" t="n">
        <v>1</v>
      </c>
      <c r="B797" s="0" t="n">
        <f aca="false">B796+A797</f>
        <v>794</v>
      </c>
      <c r="C797" s="0" t="n">
        <f aca="false">$C$3+($G$1/($E$1*86.4))*SINH($E$1*B797*86.4/$G$1)</f>
        <v>46253.0416725066</v>
      </c>
      <c r="D797" s="0" t="n">
        <f aca="false">C797-$C$3-B797</f>
        <v>855.041672506552</v>
      </c>
      <c r="E797" s="0" t="n">
        <f aca="false">$E$1*B797*86.4</f>
        <v>672981.696</v>
      </c>
      <c r="F797" s="0" t="n">
        <f aca="false">$G$1*G797</f>
        <v>293319.529300101</v>
      </c>
      <c r="G797" s="0" t="n">
        <f aca="false">TANH($E$1*B797*86.4/$G$1)</f>
        <v>0.97773176433367</v>
      </c>
      <c r="H797" s="0" t="n">
        <f aca="false">COSH($E$1*B797*86.4/$G$1)</f>
        <v>4.76511516394729</v>
      </c>
      <c r="I797" s="0" t="n">
        <f aca="false">(($G$1^2*1000)/($E$1*$I$1))*(H797-1)</f>
        <v>3.6511014875745</v>
      </c>
      <c r="J797" s="0" t="n">
        <f aca="false">$J$3*EXP(-$E$1*B797*86.4/$G$1)</f>
        <v>106.110707447983</v>
      </c>
      <c r="K797" s="0" t="n">
        <f aca="false">J796-J797</f>
        <v>0.30021635747481</v>
      </c>
    </row>
    <row r="798" customFormat="false" ht="12.8" hidden="false" customHeight="false" outlineLevel="0" collapsed="false">
      <c r="A798" s="0" t="n">
        <v>1</v>
      </c>
      <c r="B798" s="0" t="n">
        <f aca="false">B797+A798</f>
        <v>795</v>
      </c>
      <c r="C798" s="0" t="n">
        <f aca="false">$C$3+($G$1/($E$1*86.4))*SINH($E$1*B798*86.4/$G$1)</f>
        <v>46257.8133755103</v>
      </c>
      <c r="D798" s="0" t="n">
        <f aca="false">C798-$C$3-B798</f>
        <v>858.81337551029</v>
      </c>
      <c r="E798" s="0" t="n">
        <f aca="false">$E$1*B798*86.4</f>
        <v>673829.28</v>
      </c>
      <c r="F798" s="0" t="n">
        <f aca="false">$G$1*G798</f>
        <v>293356.754476871</v>
      </c>
      <c r="G798" s="0" t="n">
        <f aca="false">TANH($E$1*B798*86.4/$G$1)</f>
        <v>0.977855848256235</v>
      </c>
      <c r="H798" s="0" t="n">
        <f aca="false">COSH($E$1*B798*86.4/$G$1)</f>
        <v>4.77829719165042</v>
      </c>
      <c r="I798" s="0" t="n">
        <f aca="false">(($G$1^2*1000)/($E$1*$I$1))*(H798-1)</f>
        <v>3.66388434250999</v>
      </c>
      <c r="J798" s="0" t="n">
        <f aca="false">$J$3*EXP(-$E$1*B798*86.4/$G$1)</f>
        <v>105.811338088711</v>
      </c>
      <c r="K798" s="0" t="n">
        <f aca="false">J797-J798</f>
        <v>0.29936935927131</v>
      </c>
    </row>
    <row r="799" customFormat="false" ht="12.8" hidden="false" customHeight="false" outlineLevel="0" collapsed="false">
      <c r="A799" s="0" t="n">
        <v>1</v>
      </c>
      <c r="B799" s="0" t="n">
        <f aca="false">B798+A799</f>
        <v>796</v>
      </c>
      <c r="C799" s="0" t="n">
        <f aca="false">$C$3+($G$1/($E$1*86.4))*SINH($E$1*B799*86.4/$G$1)</f>
        <v>46262.5982796036</v>
      </c>
      <c r="D799" s="0" t="n">
        <f aca="false">C799-$C$3-B799</f>
        <v>862.598279603641</v>
      </c>
      <c r="E799" s="0" t="n">
        <f aca="false">$E$1*B799*86.4</f>
        <v>674676.864</v>
      </c>
      <c r="F799" s="0" t="n">
        <f aca="false">$G$1*G799</f>
        <v>293393.774535644</v>
      </c>
      <c r="G799" s="0" t="n">
        <f aca="false">TANH($E$1*B799*86.4/$G$1)</f>
        <v>0.977979248452145</v>
      </c>
      <c r="H799" s="0" t="n">
        <f aca="false">COSH($E$1*B799*86.4/$G$1)</f>
        <v>4.79151736073659</v>
      </c>
      <c r="I799" s="0" t="n">
        <f aca="false">(($G$1^2*1000)/($E$1*$I$1))*(H799-1)</f>
        <v>3.67670418384677</v>
      </c>
      <c r="J799" s="0" t="n">
        <f aca="false">$J$3*EXP(-$E$1*B799*86.4/$G$1)</f>
        <v>105.512813338014</v>
      </c>
      <c r="K799" s="0" t="n">
        <f aca="false">J798-J799</f>
        <v>0.298524750697581</v>
      </c>
    </row>
    <row r="800" customFormat="false" ht="12.8" hidden="false" customHeight="false" outlineLevel="0" collapsed="false">
      <c r="A800" s="0" t="n">
        <v>1</v>
      </c>
      <c r="B800" s="0" t="n">
        <f aca="false">B799+A800</f>
        <v>797</v>
      </c>
      <c r="C800" s="0" t="n">
        <f aca="false">$C$3+($G$1/($E$1*86.4))*SINH($E$1*B800*86.4/$G$1)</f>
        <v>46267.3964229807</v>
      </c>
      <c r="D800" s="0" t="n">
        <f aca="false">C800-$C$3-B800</f>
        <v>866.396422980724</v>
      </c>
      <c r="E800" s="0" t="n">
        <f aca="false">$E$1*B800*86.4</f>
        <v>675524.448</v>
      </c>
      <c r="F800" s="0" t="n">
        <f aca="false">$G$1*G800</f>
        <v>293430.590580989</v>
      </c>
      <c r="G800" s="0" t="n">
        <f aca="false">TANH($E$1*B800*86.4/$G$1)</f>
        <v>0.978101968603296</v>
      </c>
      <c r="H800" s="0" t="n">
        <f aca="false">COSH($E$1*B800*86.4/$G$1)</f>
        <v>4.80477577673199</v>
      </c>
      <c r="I800" s="0" t="n">
        <f aca="false">(($G$1^2*1000)/($E$1*$I$1))*(H800-1)</f>
        <v>3.68956111391553</v>
      </c>
      <c r="J800" s="0" t="n">
        <f aca="false">$J$3*EXP(-$E$1*B800*86.4/$G$1)</f>
        <v>105.215130813002</v>
      </c>
      <c r="K800" s="0" t="n">
        <f aca="false">J799-J800</f>
        <v>0.297682525011908</v>
      </c>
    </row>
    <row r="801" customFormat="false" ht="12.8" hidden="false" customHeight="false" outlineLevel="0" collapsed="false">
      <c r="A801" s="0" t="n">
        <v>1</v>
      </c>
      <c r="B801" s="0" t="n">
        <f aca="false">B800+A801</f>
        <v>798</v>
      </c>
      <c r="C801" s="0" t="n">
        <f aca="false">$C$3+($G$1/($E$1*86.4))*SINH($E$1*B801*86.4/$G$1)</f>
        <v>46272.2078439413</v>
      </c>
      <c r="D801" s="0" t="n">
        <f aca="false">C801-$C$3-B801</f>
        <v>870.207843941345</v>
      </c>
      <c r="E801" s="0" t="n">
        <f aca="false">$E$1*B801*86.4</f>
        <v>676372.032</v>
      </c>
      <c r="F801" s="0" t="n">
        <f aca="false">$G$1*G801</f>
        <v>293467.203711812</v>
      </c>
      <c r="G801" s="0" t="n">
        <f aca="false">TANH($E$1*B801*86.4/$G$1)</f>
        <v>0.978224012372708</v>
      </c>
      <c r="H801" s="0" t="n">
        <f aca="false">COSH($E$1*B801*86.4/$G$1)</f>
        <v>4.81807254546812</v>
      </c>
      <c r="I801" s="0" t="n">
        <f aca="false">(($G$1^2*1000)/($E$1*$I$1))*(H801-1)</f>
        <v>3.70245523534302</v>
      </c>
      <c r="J801" s="0" t="n">
        <f aca="false">$J$3*EXP(-$E$1*B801*86.4/$G$1)</f>
        <v>104.91828813751</v>
      </c>
      <c r="K801" s="0" t="n">
        <f aca="false">J800-J801</f>
        <v>0.296842675491263</v>
      </c>
    </row>
    <row r="802" customFormat="false" ht="12.8" hidden="false" customHeight="false" outlineLevel="0" collapsed="false">
      <c r="A802" s="0" t="n">
        <v>1</v>
      </c>
      <c r="B802" s="0" t="n">
        <f aca="false">B801+A802</f>
        <v>799</v>
      </c>
      <c r="C802" s="0" t="n">
        <f aca="false">$C$3+($G$1/($E$1*86.4))*SINH($E$1*B802*86.4/$G$1)</f>
        <v>46277.0325808913</v>
      </c>
      <c r="D802" s="0" t="n">
        <f aca="false">C802-$C$3-B802</f>
        <v>874.032580891289</v>
      </c>
      <c r="E802" s="0" t="n">
        <f aca="false">$E$1*B802*86.4</f>
        <v>677219.616</v>
      </c>
      <c r="F802" s="0" t="n">
        <f aca="false">$G$1*G802</f>
        <v>293503.615021384</v>
      </c>
      <c r="G802" s="0" t="n">
        <f aca="false">TANH($E$1*B802*86.4/$G$1)</f>
        <v>0.978345383404613</v>
      </c>
      <c r="H802" s="0" t="n">
        <f aca="false">COSH($E$1*B802*86.4/$G$1)</f>
        <v>4.83140777308261</v>
      </c>
      <c r="I802" s="0" t="n">
        <f aca="false">(($G$1^2*1000)/($E$1*$I$1))*(H802-1)</f>
        <v>3.71538665105285</v>
      </c>
      <c r="J802" s="0" t="n">
        <f aca="false">$J$3*EXP(-$E$1*B802*86.4/$G$1)</f>
        <v>104.622282942078</v>
      </c>
      <c r="K802" s="0" t="n">
        <f aca="false">J801-J802</f>
        <v>0.296005195432016</v>
      </c>
    </row>
    <row r="803" customFormat="false" ht="12.8" hidden="false" customHeight="false" outlineLevel="0" collapsed="false">
      <c r="A803" s="0" t="n">
        <v>1</v>
      </c>
      <c r="B803" s="0" t="n">
        <f aca="false">B802+A803</f>
        <v>800</v>
      </c>
      <c r="C803" s="0" t="n">
        <f aca="false">$C$3+($G$1/($E$1*86.4))*SINH($E$1*B803*86.4/$G$1)</f>
        <v>46281.8706723426</v>
      </c>
      <c r="D803" s="0" t="n">
        <f aca="false">C803-$C$3-B803</f>
        <v>877.870672342615</v>
      </c>
      <c r="E803" s="0" t="n">
        <f aca="false">$E$1*B803*86.4</f>
        <v>678067.2</v>
      </c>
      <c r="F803" s="0" t="n">
        <f aca="false">$G$1*G803</f>
        <v>293539.825597361</v>
      </c>
      <c r="G803" s="0" t="n">
        <f aca="false">TANH($E$1*B803*86.4/$G$1)</f>
        <v>0.978466085324538</v>
      </c>
      <c r="H803" s="0" t="n">
        <f aca="false">COSH($E$1*B803*86.4/$G$1)</f>
        <v>4.84478156602008</v>
      </c>
      <c r="I803" s="0" t="n">
        <f aca="false">(($G$1^2*1000)/($E$1*$I$1))*(H803-1)</f>
        <v>3.72835546426634</v>
      </c>
      <c r="J803" s="0" t="n">
        <f aca="false">$J$3*EXP(-$E$1*B803*86.4/$G$1)</f>
        <v>104.327112863929</v>
      </c>
      <c r="K803" s="0" t="n">
        <f aca="false">J802-J803</f>
        <v>0.295170078149013</v>
      </c>
    </row>
    <row r="804" customFormat="false" ht="12.8" hidden="false" customHeight="false" outlineLevel="0" collapsed="false">
      <c r="A804" s="0" t="n">
        <v>1</v>
      </c>
      <c r="B804" s="0" t="n">
        <f aca="false">B803+A804</f>
        <v>801</v>
      </c>
      <c r="C804" s="0" t="n">
        <f aca="false">$C$3+($G$1/($E$1*86.4))*SINH($E$1*B804*86.4/$G$1)</f>
        <v>46286.722156914</v>
      </c>
      <c r="D804" s="0" t="n">
        <f aca="false">C804-$C$3-B804</f>
        <v>881.722156914017</v>
      </c>
      <c r="E804" s="0" t="n">
        <f aca="false">$E$1*B804*86.4</f>
        <v>678914.784</v>
      </c>
      <c r="F804" s="0" t="n">
        <f aca="false">$G$1*G804</f>
        <v>293575.836521818</v>
      </c>
      <c r="G804" s="0" t="n">
        <f aca="false">TANH($E$1*B804*86.4/$G$1)</f>
        <v>0.978586121739392</v>
      </c>
      <c r="H804" s="0" t="n">
        <f aca="false">COSH($E$1*B804*86.4/$G$1)</f>
        <v>4.85819403103298</v>
      </c>
      <c r="I804" s="0" t="n">
        <f aca="false">(($G$1^2*1000)/($E$1*$I$1))*(H804-1)</f>
        <v>3.7413617785033</v>
      </c>
      <c r="J804" s="0" t="n">
        <f aca="false">$J$3*EXP(-$E$1*B804*86.4/$G$1)</f>
        <v>104.032775546953</v>
      </c>
      <c r="K804" s="0" t="n">
        <f aca="false">J803-J804</f>
        <v>0.294337316976339</v>
      </c>
    </row>
    <row r="805" customFormat="false" ht="12.8" hidden="false" customHeight="false" outlineLevel="0" collapsed="false">
      <c r="A805" s="0" t="n">
        <v>1</v>
      </c>
      <c r="B805" s="0" t="n">
        <f aca="false">B804+A805</f>
        <v>802</v>
      </c>
      <c r="C805" s="0" t="n">
        <f aca="false">$C$3+($G$1/($E$1*86.4))*SINH($E$1*B805*86.4/$G$1)</f>
        <v>46291.5870733311</v>
      </c>
      <c r="D805" s="0" t="n">
        <f aca="false">C805-$C$3-B805</f>
        <v>885.587073331059</v>
      </c>
      <c r="E805" s="0" t="n">
        <f aca="false">$E$1*B805*86.4</f>
        <v>679762.368</v>
      </c>
      <c r="F805" s="0" t="n">
        <f aca="false">$G$1*G805</f>
        <v>293611.648871265</v>
      </c>
      <c r="G805" s="0" t="n">
        <f aca="false">TANH($E$1*B805*86.4/$G$1)</f>
        <v>0.978705496237552</v>
      </c>
      <c r="H805" s="0" t="n">
        <f aca="false">COSH($E$1*B805*86.4/$G$1)</f>
        <v>4.87164527518246</v>
      </c>
      <c r="I805" s="0" t="n">
        <f aca="false">(($G$1^2*1000)/($E$1*$I$1))*(H805-1)</f>
        <v>3.7544056975829</v>
      </c>
      <c r="J805" s="0" t="n">
        <f aca="false">$J$3*EXP(-$E$1*B805*86.4/$G$1)</f>
        <v>103.739268641687</v>
      </c>
      <c r="K805" s="0" t="n">
        <f aca="false">J804-J805</f>
        <v>0.293506905266597</v>
      </c>
    </row>
    <row r="806" customFormat="false" ht="12.8" hidden="false" customHeight="false" outlineLevel="0" collapsed="false">
      <c r="A806" s="0" t="n">
        <v>1</v>
      </c>
      <c r="B806" s="0" t="n">
        <f aca="false">B805+A806</f>
        <v>803</v>
      </c>
      <c r="C806" s="0" t="n">
        <f aca="false">$C$3+($G$1/($E$1*86.4))*SINH($E$1*B806*86.4/$G$1)</f>
        <v>46296.4654604265</v>
      </c>
      <c r="D806" s="0" t="n">
        <f aca="false">C806-$C$3-B806</f>
        <v>889.465460426545</v>
      </c>
      <c r="E806" s="0" t="n">
        <f aca="false">$E$1*B806*86.4</f>
        <v>680609.952</v>
      </c>
      <c r="F806" s="0" t="n">
        <f aca="false">$G$1*G806</f>
        <v>293647.263716684</v>
      </c>
      <c r="G806" s="0" t="n">
        <f aca="false">TANH($E$1*B806*86.4/$G$1)</f>
        <v>0.978824212388945</v>
      </c>
      <c r="H806" s="0" t="n">
        <f aca="false">COSH($E$1*B806*86.4/$G$1)</f>
        <v>4.8851354058392</v>
      </c>
      <c r="I806" s="0" t="n">
        <f aca="false">(($G$1^2*1000)/($E$1*$I$1))*(H806-1)</f>
        <v>3.76748732562446</v>
      </c>
      <c r="J806" s="0" t="n">
        <f aca="false">$J$3*EXP(-$E$1*B806*86.4/$G$1)</f>
        <v>103.446589805295</v>
      </c>
      <c r="K806" s="0" t="n">
        <f aca="false">J805-J806</f>
        <v>0.292678836391303</v>
      </c>
    </row>
    <row r="807" customFormat="false" ht="12.8" hidden="false" customHeight="false" outlineLevel="0" collapsed="false">
      <c r="A807" s="0" t="n">
        <v>1</v>
      </c>
      <c r="B807" s="0" t="n">
        <f aca="false">B806+A807</f>
        <v>804</v>
      </c>
      <c r="C807" s="0" t="n">
        <f aca="false">$C$3+($G$1/($E$1*86.4))*SINH($E$1*B807*86.4/$G$1)</f>
        <v>46301.3573571408</v>
      </c>
      <c r="D807" s="0" t="n">
        <f aca="false">C807-$C$3-B807</f>
        <v>893.357357140798</v>
      </c>
      <c r="E807" s="0" t="n">
        <f aca="false">$E$1*B807*86.4</f>
        <v>681457.536</v>
      </c>
      <c r="F807" s="0" t="n">
        <f aca="false">$G$1*G807</f>
        <v>293682.682123541</v>
      </c>
      <c r="G807" s="0" t="n">
        <f aca="false">TANH($E$1*B807*86.4/$G$1)</f>
        <v>0.978942273745138</v>
      </c>
      <c r="H807" s="0" t="n">
        <f aca="false">COSH($E$1*B807*86.4/$G$1)</f>
        <v>4.8986645306843</v>
      </c>
      <c r="I807" s="0" t="n">
        <f aca="false">(($G$1^2*1000)/($E$1*$I$1))*(H807-1)</f>
        <v>3.78060676704833</v>
      </c>
      <c r="J807" s="0" t="n">
        <f aca="false">$J$3*EXP(-$E$1*B807*86.4/$G$1)</f>
        <v>103.154736701555</v>
      </c>
      <c r="K807" s="0" t="n">
        <f aca="false">J806-J807</f>
        <v>0.291853103740664</v>
      </c>
    </row>
    <row r="808" customFormat="false" ht="12.8" hidden="false" customHeight="false" outlineLevel="0" collapsed="false">
      <c r="A808" s="0" t="n">
        <v>1</v>
      </c>
      <c r="B808" s="0" t="n">
        <f aca="false">B807+A808</f>
        <v>805</v>
      </c>
      <c r="C808" s="0" t="n">
        <f aca="false">$C$3+($G$1/($E$1*86.4))*SINH($E$1*B808*86.4/$G$1)</f>
        <v>46306.262802522</v>
      </c>
      <c r="D808" s="0" t="n">
        <f aca="false">C808-$C$3-B808</f>
        <v>897.262802521967</v>
      </c>
      <c r="E808" s="0" t="n">
        <f aca="false">$E$1*B808*86.4</f>
        <v>682305.12</v>
      </c>
      <c r="F808" s="0" t="n">
        <f aca="false">$G$1*G808</f>
        <v>293717.905151825</v>
      </c>
      <c r="G808" s="0" t="n">
        <f aca="false">TANH($E$1*B808*86.4/$G$1)</f>
        <v>0.979059683839415</v>
      </c>
      <c r="H808" s="0" t="n">
        <f aca="false">COSH($E$1*B808*86.4/$G$1)</f>
        <v>4.9122327577101</v>
      </c>
      <c r="I808" s="0" t="n">
        <f aca="false">(($G$1^2*1000)/($E$1*$I$1))*(H808-1)</f>
        <v>3.79376412657667</v>
      </c>
      <c r="J808" s="0" t="n">
        <f aca="false">$J$3*EXP(-$E$1*B808*86.4/$G$1)</f>
        <v>102.863707000831</v>
      </c>
      <c r="K808" s="0" t="n">
        <f aca="false">J807-J808</f>
        <v>0.291029700723513</v>
      </c>
    </row>
    <row r="809" customFormat="false" ht="12.8" hidden="false" customHeight="false" outlineLevel="0" collapsed="false">
      <c r="A809" s="0" t="n">
        <v>1</v>
      </c>
      <c r="B809" s="0" t="n">
        <f aca="false">B808+A809</f>
        <v>806</v>
      </c>
      <c r="C809" s="0" t="n">
        <f aca="false">$C$3+($G$1/($E$1*86.4))*SINH($E$1*B809*86.4/$G$1)</f>
        <v>46311.1818357264</v>
      </c>
      <c r="D809" s="0" t="n">
        <f aca="false">C809-$C$3-B809</f>
        <v>901.181835726376</v>
      </c>
      <c r="E809" s="0" t="n">
        <f aca="false">$E$1*B809*86.4</f>
        <v>683152.704</v>
      </c>
      <c r="F809" s="0" t="n">
        <f aca="false">$G$1*G809</f>
        <v>293752.933856061</v>
      </c>
      <c r="G809" s="0" t="n">
        <f aca="false">TANH($E$1*B809*86.4/$G$1)</f>
        <v>0.97917644618687</v>
      </c>
      <c r="H809" s="0" t="n">
        <f aca="false">COSH($E$1*B809*86.4/$G$1)</f>
        <v>4.92584019522108</v>
      </c>
      <c r="I809" s="0" t="n">
        <f aca="false">(($G$1^2*1000)/($E$1*$I$1))*(H809-1)</f>
        <v>3.80695950923432</v>
      </c>
      <c r="J809" s="0" t="n">
        <f aca="false">$J$3*EXP(-$E$1*B809*86.4/$G$1)</f>
        <v>102.573498380064</v>
      </c>
      <c r="K809" s="0" t="n">
        <f aca="false">J808-J809</f>
        <v>0.290208620767203</v>
      </c>
    </row>
    <row r="810" customFormat="false" ht="12.8" hidden="false" customHeight="false" outlineLevel="0" collapsed="false">
      <c r="A810" s="0" t="n">
        <v>1</v>
      </c>
      <c r="B810" s="0" t="n">
        <f aca="false">B809+A810</f>
        <v>807</v>
      </c>
      <c r="C810" s="0" t="n">
        <f aca="false">$C$3+($G$1/($E$1*86.4))*SINH($E$1*B810*86.4/$G$1)</f>
        <v>46316.1144960188</v>
      </c>
      <c r="D810" s="0" t="n">
        <f aca="false">C810-$C$3-B810</f>
        <v>905.114496018774</v>
      </c>
      <c r="E810" s="0" t="n">
        <f aca="false">$E$1*B810*86.4</f>
        <v>684000.288</v>
      </c>
      <c r="F810" s="0" t="n">
        <f aca="false">$G$1*G810</f>
        <v>293787.769285345</v>
      </c>
      <c r="G810" s="0" t="n">
        <f aca="false">TANH($E$1*B810*86.4/$G$1)</f>
        <v>0.979292564284484</v>
      </c>
      <c r="H810" s="0" t="n">
        <f aca="false">COSH($E$1*B810*86.4/$G$1)</f>
        <v>4.93948695183468</v>
      </c>
      <c r="I810" s="0" t="n">
        <f aca="false">(($G$1^2*1000)/($E$1*$I$1))*(H810-1)</f>
        <v>3.82019302034961</v>
      </c>
      <c r="J810" s="0" t="n">
        <f aca="false">$J$3*EXP(-$E$1*B810*86.4/$G$1)</f>
        <v>102.284108522746</v>
      </c>
      <c r="K810" s="0" t="n">
        <f aca="false">J809-J810</f>
        <v>0.289389857317687</v>
      </c>
    </row>
    <row r="811" customFormat="false" ht="12.8" hidden="false" customHeight="false" outlineLevel="0" collapsed="false">
      <c r="A811" s="0" t="n">
        <v>1</v>
      </c>
      <c r="B811" s="0" t="n">
        <f aca="false">B810+A811</f>
        <v>808</v>
      </c>
      <c r="C811" s="0" t="n">
        <f aca="false">$C$3+($G$1/($E$1*86.4))*SINH($E$1*B811*86.4/$G$1)</f>
        <v>46321.0608227727</v>
      </c>
      <c r="D811" s="0" t="n">
        <f aca="false">C811-$C$3-B811</f>
        <v>909.060822772721</v>
      </c>
      <c r="E811" s="0" t="n">
        <f aca="false">$E$1*B811*86.4</f>
        <v>684847.872</v>
      </c>
      <c r="F811" s="0" t="n">
        <f aca="false">$G$1*G811</f>
        <v>293822.412483363</v>
      </c>
      <c r="G811" s="0" t="n">
        <f aca="false">TANH($E$1*B811*86.4/$G$1)</f>
        <v>0.979408041611212</v>
      </c>
      <c r="H811" s="0" t="n">
        <f aca="false">COSH($E$1*B811*86.4/$G$1)</f>
        <v>4.95317313648221</v>
      </c>
      <c r="I811" s="0" t="n">
        <f aca="false">(($G$1^2*1000)/($E$1*$I$1))*(H811-1)</f>
        <v>3.83346476555527</v>
      </c>
      <c r="J811" s="0" t="n">
        <f aca="false">$J$3*EXP(-$E$1*B811*86.4/$G$1)</f>
        <v>101.995535118907</v>
      </c>
      <c r="K811" s="0" t="n">
        <f aca="false">J810-J811</f>
        <v>0.288573403839607</v>
      </c>
    </row>
    <row r="812" customFormat="false" ht="12.8" hidden="false" customHeight="false" outlineLevel="0" collapsed="false">
      <c r="A812" s="0" t="n">
        <v>1</v>
      </c>
      <c r="B812" s="0" t="n">
        <f aca="false">B811+A812</f>
        <v>809</v>
      </c>
      <c r="C812" s="0" t="n">
        <f aca="false">$C$3+($G$1/($E$1*86.4))*SINH($E$1*B812*86.4/$G$1)</f>
        <v>46326.0208554708</v>
      </c>
      <c r="D812" s="0" t="n">
        <f aca="false">C812-$C$3-B812</f>
        <v>913.02085547083</v>
      </c>
      <c r="E812" s="0" t="n">
        <f aca="false">$E$1*B812*86.4</f>
        <v>685695.456</v>
      </c>
      <c r="F812" s="0" t="n">
        <f aca="false">$G$1*G812</f>
        <v>293856.864488419</v>
      </c>
      <c r="G812" s="0" t="n">
        <f aca="false">TANH($E$1*B812*86.4/$G$1)</f>
        <v>0.979522881628064</v>
      </c>
      <c r="H812" s="0" t="n">
        <f aca="false">COSH($E$1*B812*86.4/$G$1)</f>
        <v>4.96689885840972</v>
      </c>
      <c r="I812" s="0" t="n">
        <f aca="false">(($G$1^2*1000)/($E$1*$I$1))*(H812-1)</f>
        <v>3.84677485078916</v>
      </c>
      <c r="J812" s="0" t="n">
        <f aca="false">$J$3*EXP(-$E$1*B812*86.4/$G$1)</f>
        <v>101.707775865091</v>
      </c>
      <c r="K812" s="0" t="n">
        <f aca="false">J811-J812</f>
        <v>0.287759253815608</v>
      </c>
    </row>
    <row r="813" customFormat="false" ht="12.8" hidden="false" customHeight="false" outlineLevel="0" collapsed="false">
      <c r="A813" s="0" t="n">
        <v>1</v>
      </c>
      <c r="B813" s="0" t="n">
        <f aca="false">B812+A813</f>
        <v>810</v>
      </c>
      <c r="C813" s="0" t="n">
        <f aca="false">$C$3+($G$1/($E$1*86.4))*SINH($E$1*B813*86.4/$G$1)</f>
        <v>46330.9946337052</v>
      </c>
      <c r="D813" s="0" t="n">
        <f aca="false">C813-$C$3-B813</f>
        <v>916.994633705152</v>
      </c>
      <c r="E813" s="0" t="n">
        <f aca="false">$E$1*B813*86.4</f>
        <v>686543.04</v>
      </c>
      <c r="F813" s="0" t="n">
        <f aca="false">$G$1*G813</f>
        <v>293891.126333458</v>
      </c>
      <c r="G813" s="0" t="n">
        <f aca="false">TANH($E$1*B813*86.4/$G$1)</f>
        <v>0.979637087778192</v>
      </c>
      <c r="H813" s="0" t="n">
        <f aca="false">COSH($E$1*B813*86.4/$G$1)</f>
        <v>4.98066422717883</v>
      </c>
      <c r="I813" s="0" t="n">
        <f aca="false">(($G$1^2*1000)/($E$1*$I$1))*(H813-1)</f>
        <v>3.86012338229522</v>
      </c>
      <c r="J813" s="0" t="n">
        <f aca="false">$J$3*EXP(-$E$1*B813*86.4/$G$1)</f>
        <v>101.420828464344</v>
      </c>
      <c r="K813" s="0" t="n">
        <f aca="false">J812-J813</f>
        <v>0.286947400747167</v>
      </c>
    </row>
    <row r="814" customFormat="false" ht="12.8" hidden="false" customHeight="false" outlineLevel="0" collapsed="false">
      <c r="A814" s="0" t="n">
        <v>1</v>
      </c>
      <c r="B814" s="0" t="n">
        <f aca="false">B813+A814</f>
        <v>811</v>
      </c>
      <c r="C814" s="0" t="n">
        <f aca="false">$C$3+($G$1/($E$1*86.4))*SINH($E$1*B814*86.4/$G$1)</f>
        <v>46335.9821971774</v>
      </c>
      <c r="D814" s="0" t="n">
        <f aca="false">C814-$C$3-B814</f>
        <v>920.982197177422</v>
      </c>
      <c r="E814" s="0" t="n">
        <f aca="false">$E$1*B814*86.4</f>
        <v>687390.624</v>
      </c>
      <c r="F814" s="0" t="n">
        <f aca="false">$G$1*G814</f>
        <v>293925.199046091</v>
      </c>
      <c r="G814" s="0" t="n">
        <f aca="false">TANH($E$1*B814*86.4/$G$1)</f>
        <v>0.979750663486968</v>
      </c>
      <c r="H814" s="0" t="n">
        <f aca="false">COSH($E$1*B814*86.4/$G$1)</f>
        <v>4.99446935266763</v>
      </c>
      <c r="I814" s="0" t="n">
        <f aca="false">(($G$1^2*1000)/($E$1*$I$1))*(H814-1)</f>
        <v>3.87351046662426</v>
      </c>
      <c r="J814" s="0" t="n">
        <f aca="false">$J$3*EXP(-$E$1*B814*86.4/$G$1)</f>
        <v>101.13469062619</v>
      </c>
      <c r="K814" s="0" t="n">
        <f aca="false">J813-J814</f>
        <v>0.286137838153792</v>
      </c>
    </row>
    <row r="815" customFormat="false" ht="12.8" hidden="false" customHeight="false" outlineLevel="0" collapsed="false">
      <c r="A815" s="0" t="n">
        <v>1</v>
      </c>
      <c r="B815" s="0" t="n">
        <f aca="false">B814+A815</f>
        <v>812</v>
      </c>
      <c r="C815" s="0" t="n">
        <f aca="false">$C$3+($G$1/($E$1*86.4))*SINH($E$1*B815*86.4/$G$1)</f>
        <v>46340.9835856995</v>
      </c>
      <c r="D815" s="0" t="n">
        <f aca="false">C815-$C$3-B815</f>
        <v>924.983585699454</v>
      </c>
      <c r="E815" s="0" t="n">
        <f aca="false">$E$1*B815*86.4</f>
        <v>688238.208</v>
      </c>
      <c r="F815" s="0" t="n">
        <f aca="false">$G$1*G815</f>
        <v>293959.083648622</v>
      </c>
      <c r="G815" s="0" t="n">
        <f aca="false">TANH($E$1*B815*86.4/$G$1)</f>
        <v>0.979863612162073</v>
      </c>
      <c r="H815" s="0" t="n">
        <f aca="false">COSH($E$1*B815*86.4/$G$1)</f>
        <v>5.00831434507157</v>
      </c>
      <c r="I815" s="0" t="n">
        <f aca="false">(($G$1^2*1000)/($E$1*$I$1))*(H815-1)</f>
        <v>3.88693621063483</v>
      </c>
      <c r="J815" s="0" t="n">
        <f aca="false">$J$3*EXP(-$E$1*B815*86.4/$G$1)</f>
        <v>100.849360066617</v>
      </c>
      <c r="K815" s="0" t="n">
        <f aca="false">J814-J815</f>
        <v>0.285330559573438</v>
      </c>
    </row>
    <row r="816" customFormat="false" ht="12.8" hidden="false" customHeight="false" outlineLevel="0" collapsed="false">
      <c r="A816" s="0" t="n">
        <v>1</v>
      </c>
      <c r="B816" s="0" t="n">
        <f aca="false">B815+A816</f>
        <v>813</v>
      </c>
      <c r="C816" s="0" t="n">
        <f aca="false">$C$3+($G$1/($E$1*86.4))*SINH($E$1*B816*86.4/$G$1)</f>
        <v>46345.9988391934</v>
      </c>
      <c r="D816" s="0" t="n">
        <f aca="false">C816-$C$3-B816</f>
        <v>928.998839193373</v>
      </c>
      <c r="E816" s="0" t="n">
        <f aca="false">$E$1*B816*86.4</f>
        <v>689085.792</v>
      </c>
      <c r="F816" s="0" t="n">
        <f aca="false">$G$1*G816</f>
        <v>293992.781158071</v>
      </c>
      <c r="G816" s="0" t="n">
        <f aca="false">TANH($E$1*B816*86.4/$G$1)</f>
        <v>0.97997593719357</v>
      </c>
      <c r="H816" s="0" t="n">
        <f aca="false">COSH($E$1*B816*86.4/$G$1)</f>
        <v>5.02219931490431</v>
      </c>
      <c r="I816" s="0" t="n">
        <f aca="false">(($G$1^2*1000)/($E$1*$I$1))*(H816-1)</f>
        <v>3.90040072149407</v>
      </c>
      <c r="J816" s="0" t="n">
        <f aca="false">$J$3*EXP(-$E$1*B816*86.4/$G$1)</f>
        <v>100.564834508054</v>
      </c>
      <c r="K816" s="0" t="n">
        <f aca="false">J815-J816</f>
        <v>0.284525558562166</v>
      </c>
    </row>
    <row r="817" customFormat="false" ht="12.8" hidden="false" customHeight="false" outlineLevel="0" collapsed="false">
      <c r="A817" s="0" t="n">
        <v>1</v>
      </c>
      <c r="B817" s="0" t="n">
        <f aca="false">B816+A817</f>
        <v>814</v>
      </c>
      <c r="C817" s="0" t="n">
        <f aca="false">$C$3+($G$1/($E$1*86.4))*SINH($E$1*B817*86.4/$G$1)</f>
        <v>46351.027997692</v>
      </c>
      <c r="D817" s="0" t="n">
        <f aca="false">C817-$C$3-B817</f>
        <v>933.027997692014</v>
      </c>
      <c r="E817" s="0" t="n">
        <f aca="false">$E$1*B817*86.4</f>
        <v>689933.376</v>
      </c>
      <c r="F817" s="0" t="n">
        <f aca="false">$G$1*G817</f>
        <v>294026.292586199</v>
      </c>
      <c r="G817" s="0" t="n">
        <f aca="false">TANH($E$1*B817*86.4/$G$1)</f>
        <v>0.980087641953995</v>
      </c>
      <c r="H817" s="0" t="n">
        <f aca="false">COSH($E$1*B817*86.4/$G$1)</f>
        <v>5.03612437299864</v>
      </c>
      <c r="I817" s="0" t="n">
        <f aca="false">(($G$1^2*1000)/($E$1*$I$1))*(H817-1)</f>
        <v>3.91390410667857</v>
      </c>
      <c r="J817" s="0" t="n">
        <f aca="false">$J$3*EXP(-$E$1*B817*86.4/$G$1)</f>
        <v>100.28111167936</v>
      </c>
      <c r="K817" s="0" t="n">
        <f aca="false">J816-J817</f>
        <v>0.283722828694323</v>
      </c>
    </row>
    <row r="818" customFormat="false" ht="12.8" hidden="false" customHeight="false" outlineLevel="0" collapsed="false">
      <c r="A818" s="0" t="n">
        <v>1</v>
      </c>
      <c r="B818" s="0" t="n">
        <f aca="false">B817+A818</f>
        <v>815</v>
      </c>
      <c r="C818" s="0" t="n">
        <f aca="false">$C$3+($G$1/($E$1*86.4))*SINH($E$1*B818*86.4/$G$1)</f>
        <v>46356.0711013392</v>
      </c>
      <c r="D818" s="0" t="n">
        <f aca="false">C818-$C$3-B818</f>
        <v>937.07110133917</v>
      </c>
      <c r="E818" s="0" t="n">
        <f aca="false">$E$1*B818*86.4</f>
        <v>690780.96</v>
      </c>
      <c r="F818" s="0" t="n">
        <f aca="false">$G$1*G818</f>
        <v>294059.61893953</v>
      </c>
      <c r="G818" s="0" t="n">
        <f aca="false">TANH($E$1*B818*86.4/$G$1)</f>
        <v>0.980198729798435</v>
      </c>
      <c r="H818" s="0" t="n">
        <f aca="false">COSH($E$1*B818*86.4/$G$1)</f>
        <v>5.05008963050734</v>
      </c>
      <c r="I818" s="0" t="n">
        <f aca="false">(($G$1^2*1000)/($E$1*$I$1))*(H818-1)</f>
        <v>3.92744647397522</v>
      </c>
      <c r="J818" s="0" t="n">
        <f aca="false">$J$3*EXP(-$E$1*B818*86.4/$G$1)</f>
        <v>99.9981893157977</v>
      </c>
      <c r="K818" s="0" t="n">
        <f aca="false">J817-J818</f>
        <v>0.282922363562392</v>
      </c>
    </row>
    <row r="819" customFormat="false" ht="12.8" hidden="false" customHeight="false" outlineLevel="0" collapsed="false">
      <c r="A819" s="0" t="n">
        <v>1</v>
      </c>
      <c r="B819" s="0" t="n">
        <f aca="false">B818+A819</f>
        <v>816</v>
      </c>
      <c r="C819" s="0" t="n">
        <f aca="false">$C$3+($G$1/($E$1*86.4))*SINH($E$1*B819*86.4/$G$1)</f>
        <v>46361.12819039</v>
      </c>
      <c r="D819" s="0" t="n">
        <f aca="false">C819-$C$3-B819</f>
        <v>941.12819038998</v>
      </c>
      <c r="E819" s="0" t="n">
        <f aca="false">$E$1*B819*86.4</f>
        <v>691628.544</v>
      </c>
      <c r="F819" s="0" t="n">
        <f aca="false">$G$1*G819</f>
        <v>294092.761219382</v>
      </c>
      <c r="G819" s="0" t="n">
        <f aca="false">TANH($E$1*B819*86.4/$G$1)</f>
        <v>0.980309204064607</v>
      </c>
      <c r="H819" s="0" t="n">
        <f aca="false">COSH($E$1*B819*86.4/$G$1)</f>
        <v>5.06409519890403</v>
      </c>
      <c r="I819" s="0" t="n">
        <f aca="false">(($G$1^2*1000)/($E$1*$I$1))*(H819-1)</f>
        <v>3.94102793148206</v>
      </c>
      <c r="J819" s="0" t="n">
        <f aca="false">$J$3*EXP(-$E$1*B819*86.4/$G$1)</f>
        <v>99.7160651590208</v>
      </c>
      <c r="K819" s="0" t="n">
        <f aca="false">J818-J819</f>
        <v>0.28212415677686</v>
      </c>
    </row>
    <row r="820" customFormat="false" ht="12.8" hidden="false" customHeight="false" outlineLevel="0" collapsed="false">
      <c r="A820" s="0" t="n">
        <v>1</v>
      </c>
      <c r="B820" s="0" t="n">
        <f aca="false">B819+A820</f>
        <v>817</v>
      </c>
      <c r="C820" s="0" t="n">
        <f aca="false">$C$3+($G$1/($E$1*86.4))*SINH($E$1*B820*86.4/$G$1)</f>
        <v>46366.1993052112</v>
      </c>
      <c r="D820" s="0" t="n">
        <f aca="false">C820-$C$3-B820</f>
        <v>945.199305211201</v>
      </c>
      <c r="E820" s="0" t="n">
        <f aca="false">$E$1*B820*86.4</f>
        <v>692476.128</v>
      </c>
      <c r="F820" s="0" t="n">
        <f aca="false">$G$1*G820</f>
        <v>294125.720421883</v>
      </c>
      <c r="G820" s="0" t="n">
        <f aca="false">TANH($E$1*B820*86.4/$G$1)</f>
        <v>0.980419068072945</v>
      </c>
      <c r="H820" s="0" t="n">
        <f aca="false">COSH($E$1*B820*86.4/$G$1)</f>
        <v>5.07814118998417</v>
      </c>
      <c r="I820" s="0" t="n">
        <f aca="false">(($G$1^2*1000)/($E$1*$I$1))*(H820-1)</f>
        <v>3.95464858760918</v>
      </c>
      <c r="J820" s="0" t="n">
        <f aca="false">$J$3*EXP(-$E$1*B820*86.4/$G$1)</f>
        <v>99.4347369570545</v>
      </c>
      <c r="K820" s="0" t="n">
        <f aca="false">J819-J820</f>
        <v>0.281328201966289</v>
      </c>
    </row>
    <row r="821" customFormat="false" ht="12.8" hidden="false" customHeight="false" outlineLevel="0" collapsed="false">
      <c r="A821" s="0" t="n">
        <v>1</v>
      </c>
      <c r="B821" s="0" t="n">
        <f aca="false">B820+A821</f>
        <v>818</v>
      </c>
      <c r="C821" s="0" t="n">
        <f aca="false">$C$3+($G$1/($E$1*86.4))*SINH($E$1*B821*86.4/$G$1)</f>
        <v>46371.2844862816</v>
      </c>
      <c r="D821" s="0" t="n">
        <f aca="false">C821-$C$3-B821</f>
        <v>949.284486281547</v>
      </c>
      <c r="E821" s="0" t="n">
        <f aca="false">$E$1*B821*86.4</f>
        <v>693323.712</v>
      </c>
      <c r="F821" s="0" t="n">
        <f aca="false">$G$1*G821</f>
        <v>294158.497538002</v>
      </c>
      <c r="G821" s="0" t="n">
        <f aca="false">TANH($E$1*B821*86.4/$G$1)</f>
        <v>0.980528325126674</v>
      </c>
      <c r="H821" s="0" t="n">
        <f aca="false">COSH($E$1*B821*86.4/$G$1)</f>
        <v>5.09222771586582</v>
      </c>
      <c r="I821" s="0" t="n">
        <f aca="false">(($G$1^2*1000)/($E$1*$I$1))*(H821-1)</f>
        <v>3.96830855107954</v>
      </c>
      <c r="J821" s="0" t="n">
        <f aca="false">$J$3*EXP(-$E$1*B821*86.4/$G$1)</f>
        <v>99.1542024642773</v>
      </c>
      <c r="K821" s="0" t="n">
        <f aca="false">J820-J821</f>
        <v>0.280534492777207</v>
      </c>
    </row>
    <row r="822" customFormat="false" ht="12.8" hidden="false" customHeight="false" outlineLevel="0" collapsed="false">
      <c r="A822" s="0" t="n">
        <v>1</v>
      </c>
      <c r="B822" s="0" t="n">
        <f aca="false">B821+A822</f>
        <v>819</v>
      </c>
      <c r="C822" s="0" t="n">
        <f aca="false">$C$3+($G$1/($E$1*86.4))*SINH($E$1*B822*86.4/$G$1)</f>
        <v>46376.383774192</v>
      </c>
      <c r="D822" s="0" t="n">
        <f aca="false">C822-$C$3-B822</f>
        <v>953.383774192014</v>
      </c>
      <c r="E822" s="0" t="n">
        <f aca="false">$E$1*B822*86.4</f>
        <v>694171.296</v>
      </c>
      <c r="F822" s="0" t="n">
        <f aca="false">$G$1*G822</f>
        <v>294191.093553569</v>
      </c>
      <c r="G822" s="0" t="n">
        <f aca="false">TANH($E$1*B822*86.4/$G$1)</f>
        <v>0.980636978511897</v>
      </c>
      <c r="H822" s="0" t="n">
        <f aca="false">COSH($E$1*B822*86.4/$G$1)</f>
        <v>5.10635488899062</v>
      </c>
      <c r="I822" s="0" t="n">
        <f aca="false">(($G$1^2*1000)/($E$1*$I$1))*(H822-1)</f>
        <v>3.98200793092988</v>
      </c>
      <c r="J822" s="0" t="n">
        <f aca="false">$J$3*EXP(-$E$1*B822*86.4/$G$1)</f>
        <v>98.8744594414034</v>
      </c>
      <c r="K822" s="0" t="n">
        <f aca="false">J821-J822</f>
        <v>0.279743022873859</v>
      </c>
    </row>
    <row r="823" customFormat="false" ht="12.8" hidden="false" customHeight="false" outlineLevel="0" collapsed="false">
      <c r="A823" s="0" t="n">
        <v>1</v>
      </c>
      <c r="B823" s="0" t="n">
        <f aca="false">B822+A823</f>
        <v>820</v>
      </c>
      <c r="C823" s="0" t="n">
        <f aca="false">$C$3+($G$1/($E$1*86.4))*SINH($E$1*B823*86.4/$G$1)</f>
        <v>46381.4972096462</v>
      </c>
      <c r="D823" s="0" t="n">
        <f aca="false">C823-$C$3-B823</f>
        <v>957.497209646201</v>
      </c>
      <c r="E823" s="0" t="n">
        <f aca="false">$E$1*B823*86.4</f>
        <v>695018.88</v>
      </c>
      <c r="F823" s="0" t="n">
        <f aca="false">$G$1*G823</f>
        <v>294223.509449301</v>
      </c>
      <c r="G823" s="0" t="n">
        <f aca="false">TANH($E$1*B823*86.4/$G$1)</f>
        <v>0.980745031497672</v>
      </c>
      <c r="H823" s="0" t="n">
        <f aca="false">COSH($E$1*B823*86.4/$G$1)</f>
        <v>5.12052282212467</v>
      </c>
      <c r="I823" s="0" t="n">
        <f aca="false">(($G$1^2*1000)/($E$1*$I$1))*(H823-1)</f>
        <v>3.99574683651156</v>
      </c>
      <c r="J823" s="0" t="n">
        <f aca="false">$J$3*EXP(-$E$1*B823*86.4/$G$1)</f>
        <v>98.5955056554645</v>
      </c>
      <c r="K823" s="0" t="n">
        <f aca="false">J822-J823</f>
        <v>0.27895378593891</v>
      </c>
    </row>
    <row r="824" customFormat="false" ht="12.8" hidden="false" customHeight="false" outlineLevel="0" collapsed="false">
      <c r="A824" s="0" t="n">
        <v>1</v>
      </c>
      <c r="B824" s="0" t="n">
        <f aca="false">B823+A824</f>
        <v>821</v>
      </c>
      <c r="C824" s="0" t="n">
        <f aca="false">$C$3+($G$1/($E$1*86.4))*SINH($E$1*B824*86.4/$G$1)</f>
        <v>46386.6248334606</v>
      </c>
      <c r="D824" s="0" t="n">
        <f aca="false">C824-$C$3-B824</f>
        <v>961.624833460628</v>
      </c>
      <c r="E824" s="0" t="n">
        <f aca="false">$E$1*B824*86.4</f>
        <v>695866.464</v>
      </c>
      <c r="F824" s="0" t="n">
        <f aca="false">$G$1*G824</f>
        <v>294255.746200827</v>
      </c>
      <c r="G824" s="0" t="n">
        <f aca="false">TANH($E$1*B824*86.4/$G$1)</f>
        <v>0.98085248733609</v>
      </c>
      <c r="H824" s="0" t="n">
        <f aca="false">COSH($E$1*B824*86.4/$G$1)</f>
        <v>5.13473162835943</v>
      </c>
      <c r="I824" s="0" t="n">
        <f aca="false">(($G$1^2*1000)/($E$1*$I$1))*(H824-1)</f>
        <v>4.00952537749143</v>
      </c>
      <c r="J824" s="0" t="n">
        <f aca="false">$J$3*EXP(-$E$1*B824*86.4/$G$1)</f>
        <v>98.3173388797923</v>
      </c>
      <c r="K824" s="0" t="n">
        <f aca="false">J823-J824</f>
        <v>0.278166775672204</v>
      </c>
    </row>
    <row r="825" customFormat="false" ht="12.8" hidden="false" customHeight="false" outlineLevel="0" collapsed="false">
      <c r="A825" s="0" t="n">
        <v>1</v>
      </c>
      <c r="B825" s="0" t="n">
        <f aca="false">B824+A825</f>
        <v>822</v>
      </c>
      <c r="C825" s="0" t="n">
        <f aca="false">$C$3+($G$1/($E$1*86.4))*SINH($E$1*B825*86.4/$G$1)</f>
        <v>46391.7666865651</v>
      </c>
      <c r="D825" s="0" t="n">
        <f aca="false">C825-$C$3-B825</f>
        <v>965.766686565083</v>
      </c>
      <c r="E825" s="0" t="n">
        <f aca="false">$E$1*B825*86.4</f>
        <v>696714.048</v>
      </c>
      <c r="F825" s="0" t="n">
        <f aca="false">$G$1*G825</f>
        <v>294287.804778708</v>
      </c>
      <c r="G825" s="0" t="n">
        <f aca="false">TANH($E$1*B825*86.4/$G$1)</f>
        <v>0.98095934926236</v>
      </c>
      <c r="H825" s="0" t="n">
        <f aca="false">COSH($E$1*B825*86.4/$G$1)</f>
        <v>5.1489814211126</v>
      </c>
      <c r="I825" s="0" t="n">
        <f aca="false">(($G$1^2*1000)/($E$1*$I$1))*(H825-1)</f>
        <v>4.02334366385274</v>
      </c>
      <c r="J825" s="0" t="n">
        <f aca="false">$J$3*EXP(-$E$1*B825*86.4/$G$1)</f>
        <v>98.0399568940004</v>
      </c>
      <c r="K825" s="0" t="n">
        <f aca="false">J824-J825</f>
        <v>0.277381985791905</v>
      </c>
    </row>
    <row r="826" customFormat="false" ht="12.8" hidden="false" customHeight="false" outlineLevel="0" collapsed="false">
      <c r="A826" s="0" t="n">
        <v>1</v>
      </c>
      <c r="B826" s="0" t="n">
        <f aca="false">B825+A826</f>
        <v>823</v>
      </c>
      <c r="C826" s="0" t="n">
        <f aca="false">$C$3+($G$1/($E$1*86.4))*SINH($E$1*B826*86.4/$G$1)</f>
        <v>46396.9228100029</v>
      </c>
      <c r="D826" s="0" t="n">
        <f aca="false">C826-$C$3-B826</f>
        <v>969.922810002936</v>
      </c>
      <c r="E826" s="0" t="n">
        <f aca="false">$E$1*B826*86.4</f>
        <v>697561.632</v>
      </c>
      <c r="F826" s="0" t="n">
        <f aca="false">$G$1*G826</f>
        <v>294319.686148466</v>
      </c>
      <c r="G826" s="0" t="n">
        <f aca="false">TANH($E$1*B826*86.4/$G$1)</f>
        <v>0.981065620494886</v>
      </c>
      <c r="H826" s="0" t="n">
        <f aca="false">COSH($E$1*B826*86.4/$G$1)</f>
        <v>5.16327231412906</v>
      </c>
      <c r="I826" s="0" t="n">
        <f aca="false">(($G$1^2*1000)/($E$1*$I$1))*(H826-1)</f>
        <v>4.03720180589599</v>
      </c>
      <c r="J826" s="0" t="n">
        <f aca="false">$J$3*EXP(-$E$1*B826*86.4/$G$1)</f>
        <v>97.763357483967</v>
      </c>
      <c r="K826" s="0" t="n">
        <f aca="false">J825-J826</f>
        <v>0.276599410033455</v>
      </c>
    </row>
    <row r="827" customFormat="false" ht="12.8" hidden="false" customHeight="false" outlineLevel="0" collapsed="false">
      <c r="A827" s="0" t="n">
        <v>1</v>
      </c>
      <c r="B827" s="0" t="n">
        <f aca="false">B826+A827</f>
        <v>824</v>
      </c>
      <c r="C827" s="0" t="n">
        <f aca="false">$C$3+($G$1/($E$1*86.4))*SINH($E$1*B827*86.4/$G$1)</f>
        <v>46402.0932449315</v>
      </c>
      <c r="D827" s="0" t="n">
        <f aca="false">C827-$C$3-B827</f>
        <v>974.09324493145</v>
      </c>
      <c r="E827" s="0" t="n">
        <f aca="false">$E$1*B827*86.4</f>
        <v>698409.216</v>
      </c>
      <c r="F827" s="0" t="n">
        <f aca="false">$G$1*G827</f>
        <v>294351.391270603</v>
      </c>
      <c r="G827" s="0" t="n">
        <f aca="false">TANH($E$1*B827*86.4/$G$1)</f>
        <v>0.981171304235344</v>
      </c>
      <c r="H827" s="0" t="n">
        <f aca="false">COSH($E$1*B827*86.4/$G$1)</f>
        <v>5.17760442148175</v>
      </c>
      <c r="I827" s="0" t="n">
        <f aca="false">(($G$1^2*1000)/($E$1*$I$1))*(H827-1)</f>
        <v>4.0510999142398</v>
      </c>
      <c r="J827" s="0" t="n">
        <f aca="false">$J$3*EXP(-$E$1*B827*86.4/$G$1)</f>
        <v>97.4875384418167</v>
      </c>
      <c r="K827" s="0" t="n">
        <f aca="false">J826-J827</f>
        <v>0.275819042150232</v>
      </c>
    </row>
    <row r="828" customFormat="false" ht="12.8" hidden="false" customHeight="false" outlineLevel="0" collapsed="false">
      <c r="A828" s="0" t="n">
        <v>1</v>
      </c>
      <c r="B828" s="0" t="n">
        <f aca="false">B827+A828</f>
        <v>825</v>
      </c>
      <c r="C828" s="0" t="n">
        <f aca="false">$C$3+($G$1/($E$1*86.4))*SINH($E$1*B828*86.4/$G$1)</f>
        <v>46407.2780326221</v>
      </c>
      <c r="D828" s="0" t="n">
        <f aca="false">C828-$C$3-B828</f>
        <v>978.27803262214</v>
      </c>
      <c r="E828" s="0" t="n">
        <f aca="false">$E$1*B828*86.4</f>
        <v>699256.8</v>
      </c>
      <c r="F828" s="0" t="n">
        <f aca="false">$G$1*G828</f>
        <v>294382.921100629</v>
      </c>
      <c r="G828" s="0" t="n">
        <f aca="false">TANH($E$1*B828*86.4/$G$1)</f>
        <v>0.981276403668764</v>
      </c>
      <c r="H828" s="0" t="n">
        <f aca="false">COSH($E$1*B828*86.4/$G$1)</f>
        <v>5.19197785757259</v>
      </c>
      <c r="I828" s="0" t="n">
        <f aca="false">(($G$1^2*1000)/($E$1*$I$1))*(H828-1)</f>
        <v>4.06503809982183</v>
      </c>
      <c r="J828" s="0" t="n">
        <f aca="false">$J$3*EXP(-$E$1*B828*86.4/$G$1)</f>
        <v>97.2124975659036</v>
      </c>
      <c r="K828" s="0" t="n">
        <f aca="false">J827-J828</f>
        <v>0.275040875913177</v>
      </c>
    </row>
    <row r="829" customFormat="false" ht="12.8" hidden="false" customHeight="false" outlineLevel="0" collapsed="false">
      <c r="A829" s="0" t="n">
        <v>1</v>
      </c>
      <c r="B829" s="0" t="n">
        <f aca="false">B828+A829</f>
        <v>826</v>
      </c>
      <c r="C829" s="0" t="n">
        <f aca="false">$C$3+($G$1/($E$1*86.4))*SINH($E$1*B829*86.4/$G$1)</f>
        <v>46412.4772144611</v>
      </c>
      <c r="D829" s="0" t="n">
        <f aca="false">C829-$C$3-B829</f>
        <v>982.477214461083</v>
      </c>
      <c r="E829" s="0" t="n">
        <f aca="false">$E$1*B829*86.4</f>
        <v>700104.384</v>
      </c>
      <c r="F829" s="0" t="n">
        <f aca="false">$G$1*G829</f>
        <v>294414.276589082</v>
      </c>
      <c r="G829" s="0" t="n">
        <f aca="false">TANH($E$1*B829*86.4/$G$1)</f>
        <v>0.981380921963608</v>
      </c>
      <c r="H829" s="0" t="n">
        <f aca="false">COSH($E$1*B829*86.4/$G$1)</f>
        <v>5.2063927371334</v>
      </c>
      <c r="I829" s="0" t="n">
        <f aca="false">(($G$1^2*1000)/($E$1*$I$1))*(H829-1)</f>
        <v>4.07901647389964</v>
      </c>
      <c r="J829" s="0" t="n">
        <f aca="false">$J$3*EXP(-$E$1*B829*86.4/$G$1)</f>
        <v>96.9382326607927</v>
      </c>
      <c r="K829" s="0" t="n">
        <f aca="false">J828-J829</f>
        <v>0.274264905110883</v>
      </c>
    </row>
    <row r="830" customFormat="false" ht="12.8" hidden="false" customHeight="false" outlineLevel="0" collapsed="false">
      <c r="A830" s="0" t="n">
        <v>1</v>
      </c>
      <c r="B830" s="0" t="n">
        <f aca="false">B829+A830</f>
        <v>827</v>
      </c>
      <c r="C830" s="0" t="n">
        <f aca="false">$C$3+($G$1/($E$1*86.4))*SINH($E$1*B830*86.4/$G$1)</f>
        <v>46417.6908319493</v>
      </c>
      <c r="D830" s="0" t="n">
        <f aca="false">C830-$C$3-B830</f>
        <v>986.69083194925</v>
      </c>
      <c r="E830" s="0" t="n">
        <f aca="false">$E$1*B830*86.4</f>
        <v>700951.968</v>
      </c>
      <c r="F830" s="0" t="n">
        <f aca="false">$G$1*G830</f>
        <v>294445.458681554</v>
      </c>
      <c r="G830" s="0" t="n">
        <f aca="false">TANH($E$1*B830*86.4/$G$1)</f>
        <v>0.981484862271846</v>
      </c>
      <c r="H830" s="0" t="n">
        <f aca="false">COSH($E$1*B830*86.4/$G$1)</f>
        <v>5.22084917522682</v>
      </c>
      <c r="I830" s="0" t="n">
        <f aca="false">(($G$1^2*1000)/($E$1*$I$1))*(H830-1)</f>
        <v>4.09303514805158</v>
      </c>
      <c r="J830" s="0" t="n">
        <f aca="false">$J$3*EXP(-$E$1*B830*86.4/$G$1)</f>
        <v>96.6647415372434</v>
      </c>
      <c r="K830" s="0" t="n">
        <f aca="false">J829-J830</f>
        <v>0.273491123549249</v>
      </c>
    </row>
    <row r="831" customFormat="false" ht="12.8" hidden="false" customHeight="false" outlineLevel="0" collapsed="false">
      <c r="A831" s="0" t="n">
        <v>1</v>
      </c>
      <c r="B831" s="0" t="n">
        <f aca="false">B830+A831</f>
        <v>828</v>
      </c>
      <c r="C831" s="0" t="n">
        <f aca="false">$C$3+($G$1/($E$1*86.4))*SINH($E$1*B831*86.4/$G$1)</f>
        <v>46422.9189267028</v>
      </c>
      <c r="D831" s="0" t="n">
        <f aca="false">C831-$C$3-B831</f>
        <v>990.918926702841</v>
      </c>
      <c r="E831" s="0" t="n">
        <f aca="false">$E$1*B831*86.4</f>
        <v>701799.552</v>
      </c>
      <c r="F831" s="0" t="n">
        <f aca="false">$G$1*G831</f>
        <v>294476.468318712</v>
      </c>
      <c r="G831" s="0" t="n">
        <f aca="false">TANH($E$1*B831*86.4/$G$1)</f>
        <v>0.981588227729038</v>
      </c>
      <c r="H831" s="0" t="n">
        <f aca="false">COSH($E$1*B831*86.4/$G$1)</f>
        <v>5.2353472872472</v>
      </c>
      <c r="I831" s="0" t="n">
        <f aca="false">(($G$1^2*1000)/($E$1*$I$1))*(H831-1)</f>
        <v>4.10709423417768</v>
      </c>
      <c r="J831" s="0" t="n">
        <f aca="false">$J$3*EXP(-$E$1*B831*86.4/$G$1)</f>
        <v>96.3920220121916</v>
      </c>
      <c r="K831" s="0" t="n">
        <f aca="false">J830-J831</f>
        <v>0.272719525051826</v>
      </c>
    </row>
    <row r="832" customFormat="false" ht="12.8" hidden="false" customHeight="false" outlineLevel="0" collapsed="false">
      <c r="A832" s="0" t="n">
        <v>1</v>
      </c>
      <c r="B832" s="0" t="n">
        <f aca="false">B831+A832</f>
        <v>829</v>
      </c>
      <c r="C832" s="0" t="n">
        <f aca="false">$C$3+($G$1/($E$1*86.4))*SINH($E$1*B832*86.4/$G$1)</f>
        <v>46428.1615404536</v>
      </c>
      <c r="D832" s="0" t="n">
        <f aca="false">C832-$C$3-B832</f>
        <v>995.161540453621</v>
      </c>
      <c r="E832" s="0" t="n">
        <f aca="false">$E$1*B832*86.4</f>
        <v>702647.136</v>
      </c>
      <c r="F832" s="0" t="n">
        <f aca="false">$G$1*G832</f>
        <v>294507.306436323</v>
      </c>
      <c r="G832" s="0" t="n">
        <f aca="false">TANH($E$1*B832*86.4/$G$1)</f>
        <v>0.98169102145441</v>
      </c>
      <c r="H832" s="0" t="n">
        <f aca="false">COSH($E$1*B832*86.4/$G$1)</f>
        <v>5.24988718892155</v>
      </c>
      <c r="I832" s="0" t="n">
        <f aca="false">(($G$1^2*1000)/($E$1*$I$1))*(H832-1)</f>
        <v>4.12119384450056</v>
      </c>
      <c r="J832" s="0" t="n">
        <f aca="false">$J$3*EXP(-$E$1*B832*86.4/$G$1)</f>
        <v>96.120071908732</v>
      </c>
      <c r="K832" s="0" t="n">
        <f aca="false">J831-J832</f>
        <v>0.271950103459602</v>
      </c>
    </row>
    <row r="833" customFormat="false" ht="12.8" hidden="false" customHeight="false" outlineLevel="0" collapsed="false">
      <c r="A833" s="0" t="n">
        <v>1</v>
      </c>
      <c r="B833" s="0" t="n">
        <f aca="false">B832+A833</f>
        <v>830</v>
      </c>
      <c r="C833" s="0" t="n">
        <f aca="false">$C$3+($G$1/($E$1*86.4))*SINH($E$1*B833*86.4/$G$1)</f>
        <v>46433.4187150493</v>
      </c>
      <c r="D833" s="0" t="n">
        <f aca="false">C833-$C$3-B833</f>
        <v>999.418715049251</v>
      </c>
      <c r="E833" s="0" t="n">
        <f aca="false">$E$1*B833*86.4</f>
        <v>703494.72</v>
      </c>
      <c r="F833" s="0" t="n">
        <f aca="false">$G$1*G833</f>
        <v>294537.973965279</v>
      </c>
      <c r="G833" s="0" t="n">
        <f aca="false">TANH($E$1*B833*86.4/$G$1)</f>
        <v>0.981793246550929</v>
      </c>
      <c r="H833" s="0" t="n">
        <f aca="false">COSH($E$1*B833*86.4/$G$1)</f>
        <v>5.26446899631045</v>
      </c>
      <c r="I833" s="0" t="n">
        <f aca="false">(($G$1^2*1000)/($E$1*$I$1))*(H833-1)</f>
        <v>4.1353340915663</v>
      </c>
      <c r="J833" s="0" t="n">
        <f aca="false">$J$3*EXP(-$E$1*B833*86.4/$G$1)</f>
        <v>95.848889056101</v>
      </c>
      <c r="K833" s="0" t="n">
        <f aca="false">J832-J833</f>
        <v>0.271182852630943</v>
      </c>
    </row>
    <row r="834" customFormat="false" ht="12.8" hidden="false" customHeight="false" outlineLevel="0" collapsed="false">
      <c r="A834" s="0" t="n">
        <v>1</v>
      </c>
      <c r="B834" s="0" t="n">
        <f aca="false">B833+A834</f>
        <v>831</v>
      </c>
      <c r="C834" s="0" t="n">
        <f aca="false">$C$3+($G$1/($E$1*86.4))*SINH($E$1*B834*86.4/$G$1)</f>
        <v>46438.6904924536</v>
      </c>
      <c r="D834" s="0" t="n">
        <f aca="false">C834-$C$3-B834</f>
        <v>1003.69049245361</v>
      </c>
      <c r="E834" s="0" t="n">
        <f aca="false">$E$1*B834*86.4</f>
        <v>704342.304</v>
      </c>
      <c r="F834" s="0" t="n">
        <f aca="false">$G$1*G834</f>
        <v>294568.471831616</v>
      </c>
      <c r="G834" s="0" t="n">
        <f aca="false">TANH($E$1*B834*86.4/$G$1)</f>
        <v>0.981894906105385</v>
      </c>
      <c r="H834" s="0" t="n">
        <f aca="false">COSH($E$1*B834*86.4/$G$1)</f>
        <v>5.279092825809</v>
      </c>
      <c r="I834" s="0" t="n">
        <f aca="false">(($G$1^2*1000)/($E$1*$I$1))*(H834-1)</f>
        <v>4.14951508824535</v>
      </c>
      <c r="J834" s="0" t="n">
        <f aca="false">$J$3*EXP(-$E$1*B834*86.4/$G$1)</f>
        <v>95.5784712896597</v>
      </c>
      <c r="K834" s="0" t="n">
        <f aca="false">J833-J834</f>
        <v>0.270417766441312</v>
      </c>
    </row>
    <row r="835" customFormat="false" ht="12.8" hidden="false" customHeight="false" outlineLevel="0" collapsed="false">
      <c r="A835" s="0" t="n">
        <v>1</v>
      </c>
      <c r="B835" s="0" t="n">
        <f aca="false">B834+A835</f>
        <v>832</v>
      </c>
      <c r="C835" s="0" t="n">
        <f aca="false">$C$3+($G$1/($E$1*86.4))*SINH($E$1*B835*86.4/$G$1)</f>
        <v>46443.9769147471</v>
      </c>
      <c r="D835" s="0" t="n">
        <f aca="false">C835-$C$3-B835</f>
        <v>1007.97691474715</v>
      </c>
      <c r="E835" s="0" t="n">
        <f aca="false">$E$1*B835*86.4</f>
        <v>705189.888</v>
      </c>
      <c r="F835" s="0" t="n">
        <f aca="false">$G$1*G835</f>
        <v>294598.800956539</v>
      </c>
      <c r="G835" s="0" t="n">
        <f aca="false">TANH($E$1*B835*86.4/$G$1)</f>
        <v>0.981996003188464</v>
      </c>
      <c r="H835" s="0" t="n">
        <f aca="false">COSH($E$1*B835*86.4/$G$1)</f>
        <v>5.2937587941477</v>
      </c>
      <c r="I835" s="0" t="n">
        <f aca="false">(($G$1^2*1000)/($E$1*$I$1))*(H835-1)</f>
        <v>4.16373694773343</v>
      </c>
      <c r="J835" s="0" t="n">
        <f aca="false">$J$3*EXP(-$E$1*B835*86.4/$G$1)</f>
        <v>95.308816450876</v>
      </c>
      <c r="K835" s="0" t="n">
        <f aca="false">J834-J835</f>
        <v>0.269654838783723</v>
      </c>
    </row>
    <row r="836" customFormat="false" ht="12.8" hidden="false" customHeight="false" outlineLevel="0" collapsed="false">
      <c r="A836" s="0" t="n">
        <v>1</v>
      </c>
      <c r="B836" s="0" t="n">
        <f aca="false">B835+A836</f>
        <v>833</v>
      </c>
      <c r="C836" s="0" t="n">
        <f aca="false">$C$3+($G$1/($E$1*86.4))*SINH($E$1*B836*86.4/$G$1)</f>
        <v>46449.2780241272</v>
      </c>
      <c r="D836" s="0" t="n">
        <f aca="false">C836-$C$3-B836</f>
        <v>1012.2780241272</v>
      </c>
      <c r="E836" s="0" t="n">
        <f aca="false">$E$1*B836*86.4</f>
        <v>706037.472</v>
      </c>
      <c r="F836" s="0" t="n">
        <f aca="false">$G$1*G836</f>
        <v>294628.962256448</v>
      </c>
      <c r="G836" s="0" t="n">
        <f aca="false">TANH($E$1*B836*86.4/$G$1)</f>
        <v>0.982096540854826</v>
      </c>
      <c r="H836" s="0" t="n">
        <f aca="false">COSH($E$1*B836*86.4/$G$1)</f>
        <v>5.30846701839342</v>
      </c>
      <c r="I836" s="0" t="n">
        <f aca="false">(($G$1^2*1000)/($E$1*$I$1))*(H836-1)</f>
        <v>4.17799978355247</v>
      </c>
      <c r="J836" s="0" t="n">
        <f aca="false">$J$3*EXP(-$E$1*B836*86.4/$G$1)</f>
        <v>95.0399223873076</v>
      </c>
      <c r="K836" s="0" t="n">
        <f aca="false">J835-J836</f>
        <v>0.268894063568411</v>
      </c>
    </row>
    <row r="837" customFormat="false" ht="12.8" hidden="false" customHeight="false" outlineLevel="0" collapsed="false">
      <c r="A837" s="0" t="n">
        <v>1</v>
      </c>
      <c r="B837" s="0" t="n">
        <f aca="false">B836+A837</f>
        <v>834</v>
      </c>
      <c r="C837" s="0" t="n">
        <f aca="false">$C$3+($G$1/($E$1*86.4))*SINH($E$1*B837*86.4/$G$1)</f>
        <v>46454.5938629084</v>
      </c>
      <c r="D837" s="0" t="n">
        <f aca="false">C837-$C$3-B837</f>
        <v>1016.59386290837</v>
      </c>
      <c r="E837" s="0" t="n">
        <f aca="false">$E$1*B837*86.4</f>
        <v>706885.056</v>
      </c>
      <c r="F837" s="0" t="n">
        <f aca="false">$G$1*G837</f>
        <v>294658.956642955</v>
      </c>
      <c r="G837" s="0" t="n">
        <f aca="false">TANH($E$1*B837*86.4/$G$1)</f>
        <v>0.982196522143184</v>
      </c>
      <c r="H837" s="0" t="n">
        <f aca="false">COSH($E$1*B837*86.4/$G$1)</f>
        <v>5.32321761595034</v>
      </c>
      <c r="I837" s="0" t="n">
        <f aca="false">(($G$1^2*1000)/($E$1*$I$1))*(H837-1)</f>
        <v>4.19230370955143</v>
      </c>
      <c r="J837" s="0" t="n">
        <f aca="false">$J$3*EXP(-$E$1*B837*86.4/$G$1)</f>
        <v>94.771786952585</v>
      </c>
      <c r="K837" s="0" t="n">
        <f aca="false">J836-J837</f>
        <v>0.268135434722566</v>
      </c>
    </row>
    <row r="838" customFormat="false" ht="12.8" hidden="false" customHeight="false" outlineLevel="0" collapsed="false">
      <c r="A838" s="0" t="n">
        <v>1</v>
      </c>
      <c r="B838" s="0" t="n">
        <f aca="false">B837+A838</f>
        <v>835</v>
      </c>
      <c r="C838" s="0" t="n">
        <f aca="false">$C$3+($G$1/($E$1*86.4))*SINH($E$1*B838*86.4/$G$1)</f>
        <v>46459.9244735228</v>
      </c>
      <c r="D838" s="0" t="n">
        <f aca="false">C838-$C$3-B838</f>
        <v>1020.92447352278</v>
      </c>
      <c r="E838" s="0" t="n">
        <f aca="false">$E$1*B838*86.4</f>
        <v>707732.64</v>
      </c>
      <c r="F838" s="0" t="n">
        <f aca="false">$G$1*G838</f>
        <v>294688.785022912</v>
      </c>
      <c r="G838" s="0" t="n">
        <f aca="false">TANH($E$1*B838*86.4/$G$1)</f>
        <v>0.982295950076374</v>
      </c>
      <c r="H838" s="0" t="n">
        <f aca="false">COSH($E$1*B838*86.4/$G$1)</f>
        <v>5.33801070456086</v>
      </c>
      <c r="I838" s="0" t="n">
        <f aca="false">(($G$1^2*1000)/($E$1*$I$1))*(H838-1)</f>
        <v>4.2066488399073</v>
      </c>
      <c r="J838" s="0" t="n">
        <f aca="false">$J$3*EXP(-$E$1*B838*86.4/$G$1)</f>
        <v>94.5044080063943</v>
      </c>
      <c r="K838" s="0" t="n">
        <f aca="false">J837-J838</f>
        <v>0.267378946190703</v>
      </c>
    </row>
    <row r="839" customFormat="false" ht="12.8" hidden="false" customHeight="false" outlineLevel="0" collapsed="false">
      <c r="A839" s="0" t="n">
        <v>1</v>
      </c>
      <c r="B839" s="0" t="n">
        <f aca="false">B838+A839</f>
        <v>836</v>
      </c>
      <c r="C839" s="0" t="n">
        <f aca="false">$C$3+($G$1/($E$1*86.4))*SINH($E$1*B839*86.4/$G$1)</f>
        <v>46465.2698985205</v>
      </c>
      <c r="D839" s="0" t="n">
        <f aca="false">C839-$C$3-B839</f>
        <v>1025.26989852053</v>
      </c>
      <c r="E839" s="0" t="n">
        <f aca="false">$E$1*B839*86.4</f>
        <v>708580.224</v>
      </c>
      <c r="F839" s="0" t="n">
        <f aca="false">$G$1*G839</f>
        <v>294718.448298431</v>
      </c>
      <c r="G839" s="0" t="n">
        <f aca="false">TANH($E$1*B839*86.4/$G$1)</f>
        <v>0.982394827661438</v>
      </c>
      <c r="H839" s="0" t="n">
        <f aca="false">COSH($E$1*B839*86.4/$G$1)</f>
        <v>5.35284640230654</v>
      </c>
      <c r="I839" s="0" t="n">
        <f aca="false">(($G$1^2*1000)/($E$1*$I$1))*(H839-1)</f>
        <v>4.22103528912595</v>
      </c>
      <c r="J839" s="0" t="n">
        <f aca="false">$J$3*EXP(-$E$1*B839*86.4/$G$1)</f>
        <v>94.23778341446</v>
      </c>
      <c r="K839" s="0" t="n">
        <f aca="false">J838-J839</f>
        <v>0.26662459193436</v>
      </c>
    </row>
    <row r="840" customFormat="false" ht="12.8" hidden="false" customHeight="false" outlineLevel="0" collapsed="false">
      <c r="A840" s="0" t="n">
        <v>1</v>
      </c>
      <c r="B840" s="0" t="n">
        <f aca="false">B839+A840</f>
        <v>837</v>
      </c>
      <c r="C840" s="0" t="n">
        <f aca="false">$C$3+($G$1/($E$1*86.4))*SINH($E$1*B840*86.4/$G$1)</f>
        <v>46470.6301805699</v>
      </c>
      <c r="D840" s="0" t="n">
        <f aca="false">C840-$C$3-B840</f>
        <v>1029.63018056992</v>
      </c>
      <c r="E840" s="0" t="n">
        <f aca="false">$E$1*B840*86.4</f>
        <v>709427.808</v>
      </c>
      <c r="F840" s="0" t="n">
        <f aca="false">$G$1*G840</f>
        <v>294747.947366908</v>
      </c>
      <c r="G840" s="0" t="n">
        <f aca="false">TANH($E$1*B840*86.4/$G$1)</f>
        <v>0.982493157889693</v>
      </c>
      <c r="H840" s="0" t="n">
        <f aca="false">COSH($E$1*B840*86.4/$G$1)</f>
        <v>5.3677248276091</v>
      </c>
      <c r="I840" s="0" t="n">
        <f aca="false">(($G$1^2*1000)/($E$1*$I$1))*(H840-1)</f>
        <v>4.23546317204308</v>
      </c>
      <c r="J840" s="0" t="n">
        <f aca="false">$J$3*EXP(-$E$1*B840*86.4/$G$1)</f>
        <v>93.9719110485277</v>
      </c>
      <c r="K840" s="0" t="n">
        <f aca="false">J839-J840</f>
        <v>0.265872365932253</v>
      </c>
    </row>
    <row r="841" customFormat="false" ht="12.8" hidden="false" customHeight="false" outlineLevel="0" collapsed="false">
      <c r="A841" s="0" t="n">
        <v>1</v>
      </c>
      <c r="B841" s="0" t="n">
        <f aca="false">B840+A841</f>
        <v>838</v>
      </c>
      <c r="C841" s="0" t="n">
        <f aca="false">$C$3+($G$1/($E$1*86.4))*SINH($E$1*B841*86.4/$G$1)</f>
        <v>46476.0053624579</v>
      </c>
      <c r="D841" s="0" t="n">
        <f aca="false">C841-$C$3-B841</f>
        <v>1034.00536245785</v>
      </c>
      <c r="E841" s="0" t="n">
        <f aca="false">$E$1*B841*86.4</f>
        <v>710275.392</v>
      </c>
      <c r="F841" s="0" t="n">
        <f aca="false">$G$1*G841</f>
        <v>294777.283121044</v>
      </c>
      <c r="G841" s="0" t="n">
        <f aca="false">TANH($E$1*B841*86.4/$G$1)</f>
        <v>0.982590943736812</v>
      </c>
      <c r="H841" s="0" t="n">
        <f aca="false">COSH($E$1*B841*86.4/$G$1)</f>
        <v>5.38264609923127</v>
      </c>
      <c r="I841" s="0" t="n">
        <f aca="false">(($G$1^2*1000)/($E$1*$I$1))*(H841-1)</f>
        <v>4.2499326038251</v>
      </c>
      <c r="J841" s="0" t="n">
        <f aca="false">$J$3*EXP(-$E$1*B841*86.4/$G$1)</f>
        <v>93.706788786348</v>
      </c>
      <c r="K841" s="0" t="n">
        <f aca="false">J840-J841</f>
        <v>0.265122262179673</v>
      </c>
    </row>
    <row r="842" customFormat="false" ht="12.8" hidden="false" customHeight="false" outlineLevel="0" collapsed="false">
      <c r="A842" s="0" t="n">
        <v>1</v>
      </c>
      <c r="B842" s="0" t="n">
        <f aca="false">B841+A842</f>
        <v>839</v>
      </c>
      <c r="C842" s="0" t="n">
        <f aca="false">$C$3+($G$1/($E$1*86.4))*SINH($E$1*B842*86.4/$G$1)</f>
        <v>46481.3954870902</v>
      </c>
      <c r="D842" s="0" t="n">
        <f aca="false">C842-$C$3-B842</f>
        <v>1038.39548709018</v>
      </c>
      <c r="E842" s="0" t="n">
        <f aca="false">$E$1*B842*86.4</f>
        <v>711122.976</v>
      </c>
      <c r="F842" s="0" t="n">
        <f aca="false">$G$1*G842</f>
        <v>294806.456448868</v>
      </c>
      <c r="G842" s="0" t="n">
        <f aca="false">TANH($E$1*B842*86.4/$G$1)</f>
        <v>0.982688188162894</v>
      </c>
      <c r="H842" s="0" t="n">
        <f aca="false">COSH($E$1*B842*86.4/$G$1)</f>
        <v>5.39761033627781</v>
      </c>
      <c r="I842" s="0" t="n">
        <f aca="false">(($G$1^2*1000)/($E$1*$I$1))*(H842-1)</f>
        <v>4.2644436999701</v>
      </c>
      <c r="J842" s="0" t="n">
        <f aca="false">$J$3*EXP(-$E$1*B842*86.4/$G$1)</f>
        <v>93.4424145116587</v>
      </c>
      <c r="K842" s="0" t="n">
        <f aca="false">J841-J842</f>
        <v>0.264374274689374</v>
      </c>
    </row>
    <row r="843" customFormat="false" ht="12.8" hidden="false" customHeight="false" outlineLevel="0" collapsed="false">
      <c r="A843" s="0" t="n">
        <v>1</v>
      </c>
      <c r="B843" s="0" t="n">
        <f aca="false">B842+A843</f>
        <v>840</v>
      </c>
      <c r="C843" s="0" t="n">
        <f aca="false">$C$3+($G$1/($E$1*86.4))*SINH($E$1*B843*86.4/$G$1)</f>
        <v>46486.800597492</v>
      </c>
      <c r="D843" s="0" t="n">
        <f aca="false">C843-$C$3-B843</f>
        <v>1042.80059749203</v>
      </c>
      <c r="E843" s="0" t="n">
        <f aca="false">$E$1*B843*86.4</f>
        <v>711970.56</v>
      </c>
      <c r="F843" s="0" t="n">
        <f aca="false">$G$1*G843</f>
        <v>294835.468233763</v>
      </c>
      <c r="G843" s="0" t="n">
        <f aca="false">TANH($E$1*B843*86.4/$G$1)</f>
        <v>0.982784894112544</v>
      </c>
      <c r="H843" s="0" t="n">
        <f aca="false">COSH($E$1*B843*86.4/$G$1)</f>
        <v>5.41261765819644</v>
      </c>
      <c r="I843" s="0" t="n">
        <f aca="false">(($G$1^2*1000)/($E$1*$I$1))*(H843-1)</f>
        <v>4.27899657630874</v>
      </c>
      <c r="J843" s="0" t="n">
        <f aca="false">$J$3*EXP(-$E$1*B843*86.4/$G$1)</f>
        <v>93.1787861141679</v>
      </c>
      <c r="K843" s="0" t="n">
        <f aca="false">J842-J843</f>
        <v>0.263628397490734</v>
      </c>
    </row>
    <row r="844" customFormat="false" ht="12.8" hidden="false" customHeight="false" outlineLevel="0" collapsed="false">
      <c r="A844" s="0" t="n">
        <v>1</v>
      </c>
      <c r="B844" s="0" t="n">
        <f aca="false">B843+A844</f>
        <v>841</v>
      </c>
      <c r="C844" s="0" t="n">
        <f aca="false">$C$3+($G$1/($E$1*86.4))*SINH($E$1*B844*86.4/$G$1)</f>
        <v>46492.2207368081</v>
      </c>
      <c r="D844" s="0" t="n">
        <f aca="false">C844-$C$3-B844</f>
        <v>1047.22073680813</v>
      </c>
      <c r="E844" s="0" t="n">
        <f aca="false">$E$1*B844*86.4</f>
        <v>712818.144</v>
      </c>
      <c r="F844" s="0" t="n">
        <f aca="false">$G$1*G844</f>
        <v>294864.319354482</v>
      </c>
      <c r="G844" s="0" t="n">
        <f aca="false">TANH($E$1*B844*86.4/$G$1)</f>
        <v>0.982881064514941</v>
      </c>
      <c r="H844" s="0" t="n">
        <f aca="false">COSH($E$1*B844*86.4/$G$1)</f>
        <v>5.4276681847788</v>
      </c>
      <c r="I844" s="0" t="n">
        <f aca="false">(($G$1^2*1000)/($E$1*$I$1))*(H844-1)</f>
        <v>4.29359134900515</v>
      </c>
      <c r="J844" s="0" t="n">
        <f aca="false">$J$3*EXP(-$E$1*B844*86.4/$G$1)</f>
        <v>92.915901489538</v>
      </c>
      <c r="K844" s="0" t="n">
        <f aca="false">J843-J844</f>
        <v>0.262884624629905</v>
      </c>
    </row>
    <row r="845" customFormat="false" ht="12.8" hidden="false" customHeight="false" outlineLevel="0" collapsed="false">
      <c r="A845" s="0" t="n">
        <v>1</v>
      </c>
      <c r="B845" s="0" t="n">
        <f aca="false">B844+A845</f>
        <v>842</v>
      </c>
      <c r="C845" s="0" t="n">
        <f aca="false">$C$3+($G$1/($E$1*86.4))*SINH($E$1*B845*86.4/$G$1)</f>
        <v>46497.6559483032</v>
      </c>
      <c r="D845" s="0" t="n">
        <f aca="false">C845-$C$3-B845</f>
        <v>1051.65594830318</v>
      </c>
      <c r="E845" s="0" t="n">
        <f aca="false">$E$1*B845*86.4</f>
        <v>713665.728</v>
      </c>
      <c r="F845" s="0" t="n">
        <f aca="false">$G$1*G845</f>
        <v>294893.010685175</v>
      </c>
      <c r="G845" s="0" t="n">
        <f aca="false">TANH($E$1*B845*86.4/$G$1)</f>
        <v>0.982976702283917</v>
      </c>
      <c r="H845" s="0" t="n">
        <f aca="false">COSH($E$1*B845*86.4/$G$1)</f>
        <v>5.44276203616138</v>
      </c>
      <c r="I845" s="0" t="n">
        <f aca="false">(($G$1^2*1000)/($E$1*$I$1))*(H845-1)</f>
        <v>4.30822813455791</v>
      </c>
      <c r="J845" s="0" t="n">
        <f aca="false">$J$3*EXP(-$E$1*B845*86.4/$G$1)</f>
        <v>92.6537585393681</v>
      </c>
      <c r="K845" s="0" t="n">
        <f aca="false">J844-J845</f>
        <v>0.26214295016996</v>
      </c>
    </row>
    <row r="846" customFormat="false" ht="12.8" hidden="false" customHeight="false" outlineLevel="0" collapsed="false">
      <c r="A846" s="0" t="n">
        <v>1</v>
      </c>
      <c r="B846" s="0" t="n">
        <f aca="false">B845+A846</f>
        <v>843</v>
      </c>
      <c r="C846" s="0" t="n">
        <f aca="false">$C$3+($G$1/($E$1*86.4))*SINH($E$1*B846*86.4/$G$1)</f>
        <v>46503.1062753622</v>
      </c>
      <c r="D846" s="0" t="n">
        <f aca="false">C846-$C$3-B846</f>
        <v>1056.1062753622</v>
      </c>
      <c r="E846" s="0" t="n">
        <f aca="false">$E$1*B846*86.4</f>
        <v>714513.312</v>
      </c>
      <c r="F846" s="0" t="n">
        <f aca="false">$G$1*G846</f>
        <v>294921.543095409</v>
      </c>
      <c r="G846" s="0" t="n">
        <f aca="false">TANH($E$1*B846*86.4/$G$1)</f>
        <v>0.983071810318031</v>
      </c>
      <c r="H846" s="0" t="n">
        <f aca="false">COSH($E$1*B846*86.4/$G$1)</f>
        <v>5.45789933282651</v>
      </c>
      <c r="I846" s="0" t="n">
        <f aca="false">(($G$1^2*1000)/($E$1*$I$1))*(H846-1)</f>
        <v>4.32290704980097</v>
      </c>
      <c r="J846" s="0" t="n">
        <f aca="false">$J$3*EXP(-$E$1*B846*86.4/$G$1)</f>
        <v>92.3923551711773</v>
      </c>
      <c r="K846" s="0" t="n">
        <f aca="false">J845-J846</f>
        <v>0.261403368190784</v>
      </c>
    </row>
    <row r="847" customFormat="false" ht="12.8" hidden="false" customHeight="false" outlineLevel="0" collapsed="false">
      <c r="A847" s="0" t="n">
        <v>1</v>
      </c>
      <c r="B847" s="0" t="n">
        <f aca="false">B846+A847</f>
        <v>844</v>
      </c>
      <c r="C847" s="0" t="n">
        <f aca="false">$C$3+($G$1/($E$1*86.4))*SINH($E$1*B847*86.4/$G$1)</f>
        <v>46508.5717614909</v>
      </c>
      <c r="D847" s="0" t="n">
        <f aca="false">C847-$C$3-B847</f>
        <v>1060.57176149086</v>
      </c>
      <c r="E847" s="0" t="n">
        <f aca="false">$E$1*B847*86.4</f>
        <v>715360.896</v>
      </c>
      <c r="F847" s="0" t="n">
        <f aca="false">$G$1*G847</f>
        <v>294949.917450192</v>
      </c>
      <c r="G847" s="0" t="n">
        <f aca="false">TANH($E$1*B847*86.4/$G$1)</f>
        <v>0.98316639150064</v>
      </c>
      <c r="H847" s="0" t="n">
        <f aca="false">COSH($E$1*B847*86.4/$G$1)</f>
        <v>5.47308019560331</v>
      </c>
      <c r="I847" s="0" t="n">
        <f aca="false">(($G$1^2*1000)/($E$1*$I$1))*(H847-1)</f>
        <v>4.33762821190452</v>
      </c>
      <c r="J847" s="0" t="n">
        <f aca="false">$J$3*EXP(-$E$1*B847*86.4/$G$1)</f>
        <v>92.1316892983885</v>
      </c>
      <c r="K847" s="0" t="n">
        <f aca="false">J846-J847</f>
        <v>0.260665872788778</v>
      </c>
    </row>
    <row r="848" customFormat="false" ht="12.8" hidden="false" customHeight="false" outlineLevel="0" collapsed="false">
      <c r="A848" s="0" t="n">
        <v>1</v>
      </c>
      <c r="B848" s="0" t="n">
        <f aca="false">B847+A848</f>
        <v>845</v>
      </c>
      <c r="C848" s="0" t="n">
        <f aca="false">$C$3+($G$1/($E$1*86.4))*SINH($E$1*B848*86.4/$G$1)</f>
        <v>46514.0524503158</v>
      </c>
      <c r="D848" s="0" t="n">
        <f aca="false">C848-$C$3-B848</f>
        <v>1065.05245031584</v>
      </c>
      <c r="E848" s="0" t="n">
        <f aca="false">$E$1*B848*86.4</f>
        <v>716208.48</v>
      </c>
      <c r="F848" s="0" t="n">
        <f aca="false">$G$1*G848</f>
        <v>294978.134609991</v>
      </c>
      <c r="G848" s="0" t="n">
        <f aca="false">TANH($E$1*B848*86.4/$G$1)</f>
        <v>0.983260448699971</v>
      </c>
      <c r="H848" s="0" t="n">
        <f aca="false">COSH($E$1*B848*86.4/$G$1)</f>
        <v>5.48830474566864</v>
      </c>
      <c r="I848" s="0" t="n">
        <f aca="false">(($G$1^2*1000)/($E$1*$I$1))*(H848-1)</f>
        <v>4.35239173837603</v>
      </c>
      <c r="J848" s="0" t="n">
        <f aca="false">$J$3*EXP(-$E$1*B848*86.4/$G$1)</f>
        <v>91.8717588403114</v>
      </c>
      <c r="K848" s="0" t="n">
        <f aca="false">J847-J848</f>
        <v>0.259930458077079</v>
      </c>
    </row>
    <row r="849" customFormat="false" ht="12.8" hidden="false" customHeight="false" outlineLevel="0" collapsed="false">
      <c r="A849" s="0" t="n">
        <v>1</v>
      </c>
      <c r="B849" s="0" t="n">
        <f aca="false">B848+A849</f>
        <v>846</v>
      </c>
      <c r="C849" s="0" t="n">
        <f aca="false">$C$3+($G$1/($E$1*86.4))*SINH($E$1*B849*86.4/$G$1)</f>
        <v>46519.5483855851</v>
      </c>
      <c r="D849" s="0" t="n">
        <f aca="false">C849-$C$3-B849</f>
        <v>1069.54838558513</v>
      </c>
      <c r="E849" s="0" t="n">
        <f aca="false">$E$1*B849*86.4</f>
        <v>717056.064</v>
      </c>
      <c r="F849" s="0" t="n">
        <f aca="false">$G$1*G849</f>
        <v>295006.19543076</v>
      </c>
      <c r="G849" s="0" t="n">
        <f aca="false">TANH($E$1*B849*86.4/$G$1)</f>
        <v>0.983353984769201</v>
      </c>
      <c r="H849" s="0" t="n">
        <f aca="false">COSH($E$1*B849*86.4/$G$1)</f>
        <v>5.50357310454811</v>
      </c>
      <c r="I849" s="0" t="n">
        <f aca="false">(($G$1^2*1000)/($E$1*$I$1))*(H849-1)</f>
        <v>4.36719774706108</v>
      </c>
      <c r="J849" s="0" t="n">
        <f aca="false">$J$3*EXP(-$E$1*B849*86.4/$G$1)</f>
        <v>91.6125617221259</v>
      </c>
      <c r="K849" s="0" t="n">
        <f aca="false">J848-J849</f>
        <v>0.259197118185554</v>
      </c>
    </row>
    <row r="850" customFormat="false" ht="12.8" hidden="false" customHeight="false" outlineLevel="0" collapsed="false">
      <c r="A850" s="0" t="n">
        <v>1</v>
      </c>
      <c r="B850" s="0" t="n">
        <f aca="false">B849+A850</f>
        <v>847</v>
      </c>
      <c r="C850" s="0" t="n">
        <f aca="false">$C$3+($G$1/($E$1*86.4))*SINH($E$1*B850*86.4/$G$1)</f>
        <v>46525.0596111685</v>
      </c>
      <c r="D850" s="0" t="n">
        <f aca="false">C850-$C$3-B850</f>
        <v>1074.05961116849</v>
      </c>
      <c r="E850" s="0" t="n">
        <f aca="false">$E$1*B850*86.4</f>
        <v>717903.648</v>
      </c>
      <c r="F850" s="0" t="n">
        <f aca="false">$G$1*G850</f>
        <v>295034.100763956</v>
      </c>
      <c r="G850" s="0" t="n">
        <f aca="false">TANH($E$1*B850*86.4/$G$1)</f>
        <v>0.98344700254652</v>
      </c>
      <c r="H850" s="0" t="n">
        <f aca="false">COSH($E$1*B850*86.4/$G$1)</f>
        <v>5.51888539411699</v>
      </c>
      <c r="I850" s="0" t="n">
        <f aca="false">(($G$1^2*1000)/($E$1*$I$1))*(H850-1)</f>
        <v>4.38204635614439</v>
      </c>
      <c r="J850" s="0" t="n">
        <f aca="false">$J$3*EXP(-$E$1*B850*86.4/$G$1)</f>
        <v>91.3540958748653</v>
      </c>
      <c r="K850" s="0" t="n">
        <f aca="false">J849-J850</f>
        <v>0.258465847260538</v>
      </c>
    </row>
    <row r="851" customFormat="false" ht="12.8" hidden="false" customHeight="false" outlineLevel="0" collapsed="false">
      <c r="A851" s="0" t="n">
        <v>1</v>
      </c>
      <c r="B851" s="0" t="n">
        <f aca="false">B850+A851</f>
        <v>848</v>
      </c>
      <c r="C851" s="0" t="n">
        <f aca="false">$C$3+($G$1/($E$1*86.4))*SINH($E$1*B851*86.4/$G$1)</f>
        <v>46530.5861710577</v>
      </c>
      <c r="D851" s="0" t="n">
        <f aca="false">C851-$C$3-B851</f>
        <v>1078.58617105767</v>
      </c>
      <c r="E851" s="0" t="n">
        <f aca="false">$E$1*B851*86.4</f>
        <v>718751.232</v>
      </c>
      <c r="F851" s="0" t="n">
        <f aca="false">$G$1*G851</f>
        <v>295061.851456564</v>
      </c>
      <c r="G851" s="0" t="n">
        <f aca="false">TANH($E$1*B851*86.4/$G$1)</f>
        <v>0.983539504855213</v>
      </c>
      <c r="H851" s="0" t="n">
        <f aca="false">COSH($E$1*B851*86.4/$G$1)</f>
        <v>5.53424173660123</v>
      </c>
      <c r="I851" s="0" t="n">
        <f aca="false">(($G$1^2*1000)/($E$1*$I$1))*(H851-1)</f>
        <v>4.39693768415072</v>
      </c>
      <c r="J851" s="0" t="n">
        <f aca="false">$J$3*EXP(-$E$1*B851*86.4/$G$1)</f>
        <v>91.0963592354006</v>
      </c>
      <c r="K851" s="0" t="n">
        <f aca="false">J850-J851</f>
        <v>0.257736639464781</v>
      </c>
    </row>
    <row r="852" customFormat="false" ht="12.8" hidden="false" customHeight="false" outlineLevel="0" collapsed="false">
      <c r="A852" s="0" t="n">
        <v>1</v>
      </c>
      <c r="B852" s="0" t="n">
        <f aca="false">B851+A852</f>
        <v>849</v>
      </c>
      <c r="C852" s="0" t="n">
        <f aca="false">$C$3+($G$1/($E$1*86.4))*SINH($E$1*B852*86.4/$G$1)</f>
        <v>46536.1281093669</v>
      </c>
      <c r="D852" s="0" t="n">
        <f aca="false">C852-$C$3-B852</f>
        <v>1083.12810936686</v>
      </c>
      <c r="E852" s="0" t="n">
        <f aca="false">$E$1*B852*86.4</f>
        <v>719598.816</v>
      </c>
      <c r="F852" s="0" t="n">
        <f aca="false">$G$1*G852</f>
        <v>295089.448351118</v>
      </c>
      <c r="G852" s="0" t="n">
        <f aca="false">TANH($E$1*B852*86.4/$G$1)</f>
        <v>0.983631494503726</v>
      </c>
      <c r="H852" s="0" t="n">
        <f aca="false">COSH($E$1*B852*86.4/$G$1)</f>
        <v>5.54964225457842</v>
      </c>
      <c r="I852" s="0" t="n">
        <f aca="false">(($G$1^2*1000)/($E$1*$I$1))*(H852-1)</f>
        <v>4.41187184994579</v>
      </c>
      <c r="J852" s="0" t="n">
        <f aca="false">$J$3*EXP(-$E$1*B852*86.4/$G$1)</f>
        <v>90.8393497464231</v>
      </c>
      <c r="K852" s="0" t="n">
        <f aca="false">J851-J852</f>
        <v>0.257009488977488</v>
      </c>
    </row>
    <row r="853" customFormat="false" ht="12.8" hidden="false" customHeight="false" outlineLevel="0" collapsed="false">
      <c r="A853" s="0" t="n">
        <v>1</v>
      </c>
      <c r="B853" s="0" t="n">
        <f aca="false">B852+A853</f>
        <v>850</v>
      </c>
      <c r="C853" s="0" t="n">
        <f aca="false">$C$3+($G$1/($E$1*86.4))*SINH($E$1*B853*86.4/$G$1)</f>
        <v>46541.685470333</v>
      </c>
      <c r="D853" s="0" t="n">
        <f aca="false">C853-$C$3-B853</f>
        <v>1087.68547033297</v>
      </c>
      <c r="E853" s="0" t="n">
        <f aca="false">$E$1*B853*86.4</f>
        <v>720446.4</v>
      </c>
      <c r="F853" s="0" t="n">
        <f aca="false">$G$1*G853</f>
        <v>295116.892285721</v>
      </c>
      <c r="G853" s="0" t="n">
        <f aca="false">TANH($E$1*B853*86.4/$G$1)</f>
        <v>0.983722974285738</v>
      </c>
      <c r="H853" s="0" t="n">
        <f aca="false">COSH($E$1*B853*86.4/$G$1)</f>
        <v>5.56508707097876</v>
      </c>
      <c r="I853" s="0" t="n">
        <f aca="false">(($G$1^2*1000)/($E$1*$I$1))*(H853-1)</f>
        <v>4.42684897273729</v>
      </c>
      <c r="J853" s="0" t="n">
        <f aca="false">$J$3*EXP(-$E$1*B853*86.4/$G$1)</f>
        <v>90.5830653564284</v>
      </c>
      <c r="K853" s="0" t="n">
        <f aca="false">J852-J853</f>
        <v>0.256284389994633</v>
      </c>
    </row>
    <row r="854" customFormat="false" ht="12.8" hidden="false" customHeight="false" outlineLevel="0" collapsed="false">
      <c r="A854" s="0" t="n">
        <v>1</v>
      </c>
      <c r="B854" s="0" t="n">
        <f aca="false">B853+A854</f>
        <v>851</v>
      </c>
      <c r="C854" s="0" t="n">
        <f aca="false">$C$3+($G$1/($E$1*86.4))*SINH($E$1*B854*86.4/$G$1)</f>
        <v>46547.2582983161</v>
      </c>
      <c r="D854" s="0" t="n">
        <f aca="false">C854-$C$3-B854</f>
        <v>1092.25829831605</v>
      </c>
      <c r="E854" s="0" t="n">
        <f aca="false">$E$1*B854*86.4</f>
        <v>721293.984</v>
      </c>
      <c r="F854" s="0" t="n">
        <f aca="false">$G$1*G854</f>
        <v>295144.184094071</v>
      </c>
      <c r="G854" s="0" t="n">
        <f aca="false">TANH($E$1*B854*86.4/$G$1)</f>
        <v>0.983813946980237</v>
      </c>
      <c r="H854" s="0" t="n">
        <f aca="false">COSH($E$1*B854*86.4/$G$1)</f>
        <v>5.58057630908606</v>
      </c>
      <c r="I854" s="0" t="n">
        <f aca="false">(($G$1^2*1000)/($E$1*$I$1))*(H854-1)</f>
        <v>4.44186917207581</v>
      </c>
      <c r="J854" s="0" t="n">
        <f aca="false">$J$3*EXP(-$E$1*B854*86.4/$G$1)</f>
        <v>90.3275040197002</v>
      </c>
      <c r="K854" s="0" t="n">
        <f aca="false">J853-J854</f>
        <v>0.255561336728277</v>
      </c>
    </row>
    <row r="855" customFormat="false" ht="12.8" hidden="false" customHeight="false" outlineLevel="0" collapsed="false">
      <c r="A855" s="0" t="n">
        <v>1</v>
      </c>
      <c r="B855" s="0" t="n">
        <f aca="false">B854+A855</f>
        <v>852</v>
      </c>
      <c r="C855" s="0" t="n">
        <f aca="false">$C$3+($G$1/($E$1*86.4))*SINH($E$1*B855*86.4/$G$1)</f>
        <v>46552.8466377996</v>
      </c>
      <c r="D855" s="0" t="n">
        <f aca="false">C855-$C$3-B855</f>
        <v>1096.84663779959</v>
      </c>
      <c r="E855" s="0" t="n">
        <f aca="false">$E$1*B855*86.4</f>
        <v>722141.568</v>
      </c>
      <c r="F855" s="0" t="n">
        <f aca="false">$G$1*G855</f>
        <v>295171.324605476</v>
      </c>
      <c r="G855" s="0" t="n">
        <f aca="false">TANH($E$1*B855*86.4/$G$1)</f>
        <v>0.983904415351587</v>
      </c>
      <c r="H855" s="0" t="n">
        <f aca="false">COSH($E$1*B855*86.4/$G$1)</f>
        <v>5.59611009253871</v>
      </c>
      <c r="I855" s="0" t="n">
        <f aca="false">(($G$1^2*1000)/($E$1*$I$1))*(H855-1)</f>
        <v>4.45693256785576</v>
      </c>
      <c r="J855" s="0" t="n">
        <f aca="false">$J$3*EXP(-$E$1*B855*86.4/$G$1)</f>
        <v>90.0726636962935</v>
      </c>
      <c r="K855" s="0" t="n">
        <f aca="false">J854-J855</f>
        <v>0.25484032340664</v>
      </c>
    </row>
    <row r="856" customFormat="false" ht="12.8" hidden="false" customHeight="false" outlineLevel="0" collapsed="false">
      <c r="A856" s="0" t="n">
        <v>1</v>
      </c>
      <c r="B856" s="0" t="n">
        <f aca="false">B855+A856</f>
        <v>853</v>
      </c>
      <c r="C856" s="0" t="n">
        <f aca="false">$C$3+($G$1/($E$1*86.4))*SINH($E$1*B856*86.4/$G$1)</f>
        <v>46558.4505333909</v>
      </c>
      <c r="D856" s="0" t="n">
        <f aca="false">C856-$C$3-B856</f>
        <v>1101.4505333909</v>
      </c>
      <c r="E856" s="0" t="n">
        <f aca="false">$E$1*B856*86.4</f>
        <v>722989.152</v>
      </c>
      <c r="F856" s="0" t="n">
        <f aca="false">$G$1*G856</f>
        <v>295198.314644881</v>
      </c>
      <c r="G856" s="0" t="n">
        <f aca="false">TANH($E$1*B856*86.4/$G$1)</f>
        <v>0.983994382149602</v>
      </c>
      <c r="H856" s="0" t="n">
        <f aca="false">COSH($E$1*B856*86.4/$G$1)</f>
        <v>5.61168854533066</v>
      </c>
      <c r="I856" s="0" t="n">
        <f aca="false">(($G$1^2*1000)/($E$1*$I$1))*(H856-1)</f>
        <v>4.47203928031636</v>
      </c>
      <c r="J856" s="0" t="n">
        <f aca="false">$J$3*EXP(-$E$1*B856*86.4/$G$1)</f>
        <v>89.8185423520188</v>
      </c>
      <c r="K856" s="0" t="n">
        <f aca="false">J855-J856</f>
        <v>0.25412134427468</v>
      </c>
    </row>
    <row r="857" customFormat="false" ht="12.8" hidden="false" customHeight="false" outlineLevel="0" collapsed="false">
      <c r="A857" s="0" t="n">
        <v>1</v>
      </c>
      <c r="B857" s="0" t="n">
        <f aca="false">B856+A857</f>
        <v>854</v>
      </c>
      <c r="C857" s="0" t="n">
        <f aca="false">$C$3+($G$1/($E$1*86.4))*SINH($E$1*B857*86.4/$G$1)</f>
        <v>46564.0700298215</v>
      </c>
      <c r="D857" s="0" t="n">
        <f aca="false">C857-$C$3-B857</f>
        <v>1106.07002982147</v>
      </c>
      <c r="E857" s="0" t="n">
        <f aca="false">$E$1*B857*86.4</f>
        <v>723836.736</v>
      </c>
      <c r="F857" s="0" t="n">
        <f aca="false">$G$1*G857</f>
        <v>295225.155032884</v>
      </c>
      <c r="G857" s="0" t="n">
        <f aca="false">TANH($E$1*B857*86.4/$G$1)</f>
        <v>0.984083850109614</v>
      </c>
      <c r="H857" s="0" t="n">
        <f aca="false">COSH($E$1*B857*86.4/$G$1)</f>
        <v>5.62731179181243</v>
      </c>
      <c r="I857" s="0" t="n">
        <f aca="false">(($G$1^2*1000)/($E$1*$I$1))*(H857-1)</f>
        <v>4.48718943004261</v>
      </c>
      <c r="J857" s="0" t="n">
        <f aca="false">$J$3*EXP(-$E$1*B857*86.4/$G$1)</f>
        <v>89.5651379584256</v>
      </c>
      <c r="K857" s="0" t="n">
        <f aca="false">J856-J857</f>
        <v>0.253404393593215</v>
      </c>
    </row>
    <row r="858" customFormat="false" ht="12.8" hidden="false" customHeight="false" outlineLevel="0" collapsed="false">
      <c r="A858" s="0" t="n">
        <v>1</v>
      </c>
      <c r="B858" s="0" t="n">
        <f aca="false">B857+A858</f>
        <v>855</v>
      </c>
      <c r="C858" s="0" t="n">
        <f aca="false">$C$3+($G$1/($E$1*86.4))*SINH($E$1*B858*86.4/$G$1)</f>
        <v>46569.7051719473</v>
      </c>
      <c r="D858" s="0" t="n">
        <f aca="false">C858-$C$3-B858</f>
        <v>1110.70517194732</v>
      </c>
      <c r="E858" s="0" t="n">
        <f aca="false">$E$1*B858*86.4</f>
        <v>724684.32</v>
      </c>
      <c r="F858" s="0" t="n">
        <f aca="false">$G$1*G858</f>
        <v>295251.846585764</v>
      </c>
      <c r="G858" s="0" t="n">
        <f aca="false">TANH($E$1*B858*86.4/$G$1)</f>
        <v>0.984172821952545</v>
      </c>
      <c r="H858" s="0" t="n">
        <f aca="false">COSH($E$1*B858*86.4/$G$1)</f>
        <v>5.64297995669211</v>
      </c>
      <c r="I858" s="0" t="n">
        <f aca="false">(($G$1^2*1000)/($E$1*$I$1))*(H858-1)</f>
        <v>4.50238313796621</v>
      </c>
      <c r="J858" s="0" t="n">
        <f aca="false">$J$3*EXP(-$E$1*B858*86.4/$G$1)</f>
        <v>89.3124484927861</v>
      </c>
      <c r="K858" s="0" t="n">
        <f aca="false">J857-J858</f>
        <v>0.25268946563952</v>
      </c>
    </row>
    <row r="859" customFormat="false" ht="12.8" hidden="false" customHeight="false" outlineLevel="0" collapsed="false">
      <c r="A859" s="0" t="n">
        <v>1</v>
      </c>
      <c r="B859" s="0" t="n">
        <f aca="false">B858+A859</f>
        <v>856</v>
      </c>
      <c r="C859" s="0" t="n">
        <f aca="false">$C$3+($G$1/($E$1*86.4))*SINH($E$1*B859*86.4/$G$1)</f>
        <v>46575.3560047493</v>
      </c>
      <c r="D859" s="0" t="n">
        <f aca="false">C859-$C$3-B859</f>
        <v>1115.35600474934</v>
      </c>
      <c r="E859" s="0" t="n">
        <f aca="false">$E$1*B859*86.4</f>
        <v>725531.904</v>
      </c>
      <c r="F859" s="0" t="n">
        <f aca="false">$G$1*G859</f>
        <v>295278.390115494</v>
      </c>
      <c r="G859" s="0" t="n">
        <f aca="false">TANH($E$1*B859*86.4/$G$1)</f>
        <v>0.984261300384979</v>
      </c>
      <c r="H859" s="0" t="n">
        <f aca="false">COSH($E$1*B859*86.4/$G$1)</f>
        <v>5.6586931650363</v>
      </c>
      <c r="I859" s="0" t="n">
        <f aca="false">(($G$1^2*1000)/($E$1*$I$1))*(H859-1)</f>
        <v>4.51762052536657</v>
      </c>
      <c r="J859" s="0" t="n">
        <f aca="false">$J$3*EXP(-$E$1*B859*86.4/$G$1)</f>
        <v>89.0604719380794</v>
      </c>
      <c r="K859" s="0" t="n">
        <f aca="false">J858-J859</f>
        <v>0.251976554706744</v>
      </c>
    </row>
    <row r="860" customFormat="false" ht="12.8" hidden="false" customHeight="false" outlineLevel="0" collapsed="false">
      <c r="A860" s="0" t="n">
        <v>1</v>
      </c>
      <c r="B860" s="0" t="n">
        <f aca="false">B859+A860</f>
        <v>857</v>
      </c>
      <c r="C860" s="0" t="n">
        <f aca="false">$C$3+($G$1/($E$1*86.4))*SINH($E$1*B860*86.4/$G$1)</f>
        <v>46581.0225733337</v>
      </c>
      <c r="D860" s="0" t="n">
        <f aca="false">C860-$C$3-B860</f>
        <v>1120.02257333368</v>
      </c>
      <c r="E860" s="0" t="n">
        <f aca="false">$E$1*B860*86.4</f>
        <v>726379.488</v>
      </c>
      <c r="F860" s="0" t="n">
        <f aca="false">$G$1*G860</f>
        <v>295304.786429769</v>
      </c>
      <c r="G860" s="0" t="n">
        <f aca="false">TANH($E$1*B860*86.4/$G$1)</f>
        <v>0.984349288099228</v>
      </c>
      <c r="H860" s="0" t="n">
        <f aca="false">COSH($E$1*B860*86.4/$G$1)</f>
        <v>5.67445154227117</v>
      </c>
      <c r="I860" s="0" t="n">
        <f aca="false">(($G$1^2*1000)/($E$1*$I$1))*(H860-1)</f>
        <v>4.53290171387175</v>
      </c>
      <c r="J860" s="0" t="n">
        <f aca="false">$J$3*EXP(-$E$1*B860*86.4/$G$1)</f>
        <v>88.8092062829751</v>
      </c>
      <c r="K860" s="0" t="n">
        <f aca="false">J859-J860</f>
        <v>0.251265655104305</v>
      </c>
    </row>
    <row r="861" customFormat="false" ht="12.8" hidden="false" customHeight="false" outlineLevel="0" collapsed="false">
      <c r="A861" s="0" t="n">
        <v>1</v>
      </c>
      <c r="B861" s="0" t="n">
        <f aca="false">B860+A861</f>
        <v>858</v>
      </c>
      <c r="C861" s="0" t="n">
        <f aca="false">$C$3+($G$1/($E$1*86.4))*SINH($E$1*B861*86.4/$G$1)</f>
        <v>46586.7049229321</v>
      </c>
      <c r="D861" s="0" t="n">
        <f aca="false">C861-$C$3-B861</f>
        <v>1124.70492293211</v>
      </c>
      <c r="E861" s="0" t="n">
        <f aca="false">$E$1*B861*86.4</f>
        <v>727227.072</v>
      </c>
      <c r="F861" s="0" t="n">
        <f aca="false">$G$1*G861</f>
        <v>295331.036332022</v>
      </c>
      <c r="G861" s="0" t="n">
        <f aca="false">TANH($E$1*B861*86.4/$G$1)</f>
        <v>0.984436787773407</v>
      </c>
      <c r="H861" s="0" t="n">
        <f aca="false">COSH($E$1*B861*86.4/$G$1)</f>
        <v>5.69025521418343</v>
      </c>
      <c r="I861" s="0" t="n">
        <f aca="false">(($G$1^2*1000)/($E$1*$I$1))*(H861-1)</f>
        <v>4.54822682545944</v>
      </c>
      <c r="J861" s="0" t="n">
        <f aca="false">$J$3*EXP(-$E$1*B861*86.4/$G$1)</f>
        <v>88.5586495218173</v>
      </c>
      <c r="K861" s="0" t="n">
        <f aca="false">J860-J861</f>
        <v>0.250556761157739</v>
      </c>
    </row>
    <row r="862" customFormat="false" ht="12.8" hidden="false" customHeight="false" outlineLevel="0" collapsed="false">
      <c r="A862" s="0" t="n">
        <v>1</v>
      </c>
      <c r="B862" s="0" t="n">
        <f aca="false">B861+A862</f>
        <v>859</v>
      </c>
      <c r="C862" s="0" t="n">
        <f aca="false">$C$3+($G$1/($E$1*86.4))*SINH($E$1*B862*86.4/$G$1)</f>
        <v>46592.4030989023</v>
      </c>
      <c r="D862" s="0" t="n">
        <f aca="false">C862-$C$3-B862</f>
        <v>1129.40309890232</v>
      </c>
      <c r="E862" s="0" t="n">
        <f aca="false">$E$1*B862*86.4</f>
        <v>728074.656</v>
      </c>
      <c r="F862" s="0" t="n">
        <f aca="false">$G$1*G862</f>
        <v>295357.140621449</v>
      </c>
      <c r="G862" s="0" t="n">
        <f aca="false">TANH($E$1*B862*86.4/$G$1)</f>
        <v>0.984523802071495</v>
      </c>
      <c r="H862" s="0" t="n">
        <f aca="false">COSH($E$1*B862*86.4/$G$1)</f>
        <v>5.70610430692136</v>
      </c>
      <c r="I862" s="0" t="n">
        <f aca="false">(($G$1^2*1000)/($E$1*$I$1))*(H862-1)</f>
        <v>4.56359598245795</v>
      </c>
      <c r="J862" s="0" t="n">
        <f aca="false">$J$3*EXP(-$E$1*B862*86.4/$G$1)</f>
        <v>88.3087996546088</v>
      </c>
      <c r="K862" s="0" t="n">
        <f aca="false">J861-J862</f>
        <v>0.249849867208511</v>
      </c>
    </row>
    <row r="863" customFormat="false" ht="12.8" hidden="false" customHeight="false" outlineLevel="0" collapsed="false">
      <c r="A863" s="0" t="n">
        <v>1</v>
      </c>
      <c r="B863" s="0" t="n">
        <f aca="false">B862+A863</f>
        <v>860</v>
      </c>
      <c r="C863" s="0" t="n">
        <f aca="false">$C$3+($G$1/($E$1*86.4))*SINH($E$1*B863*86.4/$G$1)</f>
        <v>46598.1171467284</v>
      </c>
      <c r="D863" s="0" t="n">
        <f aca="false">C863-$C$3-B863</f>
        <v>1134.11714672839</v>
      </c>
      <c r="E863" s="0" t="n">
        <f aca="false">$E$1*B863*86.4</f>
        <v>728922.24</v>
      </c>
      <c r="F863" s="0" t="n">
        <f aca="false">$G$1*G863</f>
        <v>295383.100093025</v>
      </c>
      <c r="G863" s="0" t="n">
        <f aca="false">TANH($E$1*B863*86.4/$G$1)</f>
        <v>0.984610333643415</v>
      </c>
      <c r="H863" s="0" t="n">
        <f aca="false">COSH($E$1*B863*86.4/$G$1)</f>
        <v>5.72199894699578</v>
      </c>
      <c r="I863" s="0" t="n">
        <f aca="false">(($G$1^2*1000)/($E$1*$I$1))*(H863-1)</f>
        <v>4.57900930754714</v>
      </c>
      <c r="J863" s="0" t="n">
        <f aca="false">$J$3*EXP(-$E$1*B863*86.4/$G$1)</f>
        <v>88.0596546869949</v>
      </c>
      <c r="K863" s="0" t="n">
        <f aca="false">J862-J863</f>
        <v>0.24914496761393</v>
      </c>
    </row>
    <row r="864" customFormat="false" ht="12.8" hidden="false" customHeight="false" outlineLevel="0" collapsed="false">
      <c r="A864" s="0" t="n">
        <v>1</v>
      </c>
      <c r="B864" s="0" t="n">
        <f aca="false">B863+A864</f>
        <v>861</v>
      </c>
      <c r="C864" s="0" t="n">
        <f aca="false">$C$3+($G$1/($E$1*86.4))*SINH($E$1*B864*86.4/$G$1)</f>
        <v>46603.847112021</v>
      </c>
      <c r="D864" s="0" t="n">
        <f aca="false">C864-$C$3-B864</f>
        <v>1138.84711202105</v>
      </c>
      <c r="E864" s="0" t="n">
        <f aca="false">$E$1*B864*86.4</f>
        <v>729769.824</v>
      </c>
      <c r="F864" s="0" t="n">
        <f aca="false">$G$1*G864</f>
        <v>295408.915537528</v>
      </c>
      <c r="G864" s="0" t="n">
        <f aca="false">TANH($E$1*B864*86.4/$G$1)</f>
        <v>0.984696385125094</v>
      </c>
      <c r="H864" s="0" t="n">
        <f aca="false">COSH($E$1*B864*86.4/$G$1)</f>
        <v>5.73793926128107</v>
      </c>
      <c r="I864" s="0" t="n">
        <f aca="false">(($G$1^2*1000)/($E$1*$I$1))*(H864-1)</f>
        <v>4.59446692375945</v>
      </c>
      <c r="J864" s="0" t="n">
        <f aca="false">$J$3*EXP(-$E$1*B864*86.4/$G$1)</f>
        <v>87.8112126302475</v>
      </c>
      <c r="K864" s="0" t="n">
        <f aca="false">J863-J864</f>
        <v>0.248442056747365</v>
      </c>
    </row>
    <row r="865" customFormat="false" ht="12.8" hidden="false" customHeight="false" outlineLevel="0" collapsed="false">
      <c r="A865" s="0" t="n">
        <v>1</v>
      </c>
      <c r="B865" s="0" t="n">
        <f aca="false">B864+A865</f>
        <v>862</v>
      </c>
      <c r="C865" s="0" t="n">
        <f aca="false">$C$3+($G$1/($E$1*86.4))*SINH($E$1*B865*86.4/$G$1)</f>
        <v>46609.5930405181</v>
      </c>
      <c r="D865" s="0" t="n">
        <f aca="false">C865-$C$3-B865</f>
        <v>1143.5930405181</v>
      </c>
      <c r="E865" s="0" t="n">
        <f aca="false">$E$1*B865*86.4</f>
        <v>730617.408</v>
      </c>
      <c r="F865" s="0" t="n">
        <f aca="false">$G$1*G865</f>
        <v>295434.587741561</v>
      </c>
      <c r="G865" s="0" t="n">
        <f aca="false">TANH($E$1*B865*86.4/$G$1)</f>
        <v>0.984781959138536</v>
      </c>
      <c r="H865" s="0" t="n">
        <f aca="false">COSH($E$1*B865*86.4/$G$1)</f>
        <v>5.75392537701622</v>
      </c>
      <c r="I865" s="0" t="n">
        <f aca="false">(($G$1^2*1000)/($E$1*$I$1))*(H865-1)</f>
        <v>4.60996895448086</v>
      </c>
      <c r="J865" s="0" t="n">
        <f aca="false">$J$3*EXP(-$E$1*B865*86.4/$G$1)</f>
        <v>87.5634715012493</v>
      </c>
      <c r="K865" s="0" t="n">
        <f aca="false">J864-J865</f>
        <v>0.247741128998172</v>
      </c>
    </row>
    <row r="866" customFormat="false" ht="12.8" hidden="false" customHeight="false" outlineLevel="0" collapsed="false">
      <c r="A866" s="0" t="n">
        <v>1</v>
      </c>
      <c r="B866" s="0" t="n">
        <f aca="false">B865+A866</f>
        <v>863</v>
      </c>
      <c r="C866" s="0" t="n">
        <f aca="false">$C$3+($G$1/($E$1*86.4))*SINH($E$1*B866*86.4/$G$1)</f>
        <v>46615.3549780848</v>
      </c>
      <c r="D866" s="0" t="n">
        <f aca="false">C866-$C$3-B866</f>
        <v>1148.35497808476</v>
      </c>
      <c r="E866" s="0" t="n">
        <f aca="false">$E$1*B866*86.4</f>
        <v>731464.992</v>
      </c>
      <c r="F866" s="0" t="n">
        <f aca="false">$G$1*G866</f>
        <v>295460.117487566</v>
      </c>
      <c r="G866" s="0" t="n">
        <f aca="false">TANH($E$1*B866*86.4/$G$1)</f>
        <v>0.984867058291888</v>
      </c>
      <c r="H866" s="0" t="n">
        <f aca="false">COSH($E$1*B866*86.4/$G$1)</f>
        <v>5.76995742180579</v>
      </c>
      <c r="I866" s="0" t="n">
        <f aca="false">(($G$1^2*1000)/($E$1*$I$1))*(H866-1)</f>
        <v>4.62551552345185</v>
      </c>
      <c r="J866" s="0" t="n">
        <f aca="false">$J$3*EXP(-$E$1*B866*86.4/$G$1)</f>
        <v>87.3164293224782</v>
      </c>
      <c r="K866" s="0" t="n">
        <f aca="false">J865-J866</f>
        <v>0.247042178771139</v>
      </c>
    </row>
    <row r="867" customFormat="false" ht="12.8" hidden="false" customHeight="false" outlineLevel="0" collapsed="false">
      <c r="A867" s="0" t="n">
        <v>1</v>
      </c>
      <c r="B867" s="0" t="n">
        <f aca="false">B866+A867</f>
        <v>864</v>
      </c>
      <c r="C867" s="0" t="n">
        <f aca="false">$C$3+($G$1/($E$1*86.4))*SINH($E$1*B867*86.4/$G$1)</f>
        <v>46621.1329707141</v>
      </c>
      <c r="D867" s="0" t="n">
        <f aca="false">C867-$C$3-B867</f>
        <v>1153.13297071405</v>
      </c>
      <c r="E867" s="0" t="n">
        <f aca="false">$E$1*B867*86.4</f>
        <v>732312.576</v>
      </c>
      <c r="F867" s="0" t="n">
        <f aca="false">$G$1*G867</f>
        <v>295485.505553853</v>
      </c>
      <c r="G867" s="0" t="n">
        <f aca="false">TANH($E$1*B867*86.4/$G$1)</f>
        <v>0.984951685179509</v>
      </c>
      <c r="H867" s="0" t="n">
        <f aca="false">COSH($E$1*B867*86.4/$G$1)</f>
        <v>5.78603552362097</v>
      </c>
      <c r="I867" s="0" t="n">
        <f aca="false">(($G$1^2*1000)/($E$1*$I$1))*(H867-1)</f>
        <v>4.64110675476847</v>
      </c>
      <c r="J867" s="0" t="n">
        <f aca="false">$J$3*EXP(-$E$1*B867*86.4/$G$1)</f>
        <v>87.0700841219908</v>
      </c>
      <c r="K867" s="0" t="n">
        <f aca="false">J866-J867</f>
        <v>0.246345200487369</v>
      </c>
    </row>
    <row r="868" customFormat="false" ht="12.8" hidden="false" customHeight="false" outlineLevel="0" collapsed="false">
      <c r="A868" s="0" t="n">
        <v>1</v>
      </c>
      <c r="B868" s="0" t="n">
        <f aca="false">B867+A868</f>
        <v>865</v>
      </c>
      <c r="C868" s="0" t="n">
        <f aca="false">$C$3+($G$1/($E$1*86.4))*SINH($E$1*B868*86.4/$G$1)</f>
        <v>46626.9270645271</v>
      </c>
      <c r="D868" s="0" t="n">
        <f aca="false">C868-$C$3-B868</f>
        <v>1157.92706452712</v>
      </c>
      <c r="E868" s="0" t="n">
        <f aca="false">$E$1*B868*86.4</f>
        <v>733160.16</v>
      </c>
      <c r="F868" s="0" t="n">
        <f aca="false">$G$1*G868</f>
        <v>295510.752714612</v>
      </c>
      <c r="G868" s="0" t="n">
        <f aca="false">TANH($E$1*B868*86.4/$G$1)</f>
        <v>0.985035842382041</v>
      </c>
      <c r="H868" s="0" t="n">
        <f aca="false">COSH($E$1*B868*86.4/$G$1)</f>
        <v>5.80215981080059</v>
      </c>
      <c r="I868" s="0" t="n">
        <f aca="false">(($G$1^2*1000)/($E$1*$I$1))*(H868-1)</f>
        <v>4.65674277288321</v>
      </c>
      <c r="J868" s="0" t="n">
        <f aca="false">$J$3*EXP(-$E$1*B868*86.4/$G$1)</f>
        <v>86.8244339334076</v>
      </c>
      <c r="K868" s="0" t="n">
        <f aca="false">J867-J868</f>
        <v>0.245650188583227</v>
      </c>
    </row>
    <row r="869" customFormat="false" ht="12.8" hidden="false" customHeight="false" outlineLevel="0" collapsed="false">
      <c r="A869" s="0" t="n">
        <v>1</v>
      </c>
      <c r="B869" s="0" t="n">
        <f aca="false">B868+A869</f>
        <v>866</v>
      </c>
      <c r="C869" s="0" t="n">
        <f aca="false">$C$3+($G$1/($E$1*86.4))*SINH($E$1*B869*86.4/$G$1)</f>
        <v>46632.7373057737</v>
      </c>
      <c r="D869" s="0" t="n">
        <f aca="false">C869-$C$3-B869</f>
        <v>1162.73730577367</v>
      </c>
      <c r="E869" s="0" t="n">
        <f aca="false">$E$1*B869*86.4</f>
        <v>734007.744</v>
      </c>
      <c r="F869" s="0" t="n">
        <f aca="false">$G$1*G869</f>
        <v>295535.859739941</v>
      </c>
      <c r="G869" s="0" t="n">
        <f aca="false">TANH($E$1*B869*86.4/$G$1)</f>
        <v>0.985119532466469</v>
      </c>
      <c r="H869" s="0" t="n">
        <f aca="false">COSH($E$1*B869*86.4/$G$1)</f>
        <v>5.81833041205213</v>
      </c>
      <c r="I869" s="0" t="n">
        <f aca="false">(($G$1^2*1000)/($E$1*$I$1))*(H869-1)</f>
        <v>4.6724237026061</v>
      </c>
      <c r="J869" s="0" t="n">
        <f aca="false">$J$3*EXP(-$E$1*B869*86.4/$G$1)</f>
        <v>86.5794767958965</v>
      </c>
      <c r="K869" s="0" t="n">
        <f aca="false">J868-J869</f>
        <v>0.24495713751115</v>
      </c>
    </row>
    <row r="870" customFormat="false" ht="12.8" hidden="false" customHeight="false" outlineLevel="0" collapsed="false">
      <c r="A870" s="0" t="n">
        <v>1</v>
      </c>
      <c r="B870" s="0" t="n">
        <f aca="false">B869+A870</f>
        <v>867</v>
      </c>
      <c r="C870" s="0" t="n">
        <f aca="false">$C$3+($G$1/($E$1*86.4))*SINH($E$1*B870*86.4/$G$1)</f>
        <v>46638.5637408323</v>
      </c>
      <c r="D870" s="0" t="n">
        <f aca="false">C870-$C$3-B870</f>
        <v>1167.56374083227</v>
      </c>
      <c r="E870" s="0" t="n">
        <f aca="false">$E$1*B870*86.4</f>
        <v>734855.328</v>
      </c>
      <c r="F870" s="0" t="n">
        <f aca="false">$G$1*G870</f>
        <v>295560.827395859</v>
      </c>
      <c r="G870" s="0" t="n">
        <f aca="false">TANH($E$1*B870*86.4/$G$1)</f>
        <v>0.985202757986196</v>
      </c>
      <c r="H870" s="0" t="n">
        <f aca="false">COSH($E$1*B870*86.4/$G$1)</f>
        <v>5.83454745645275</v>
      </c>
      <c r="I870" s="0" t="n">
        <f aca="false">(($G$1^2*1000)/($E$1*$I$1))*(H870-1)</f>
        <v>4.68814966910566</v>
      </c>
      <c r="J870" s="0" t="n">
        <f aca="false">$J$3*EXP(-$E$1*B870*86.4/$G$1)</f>
        <v>86.3352107541576</v>
      </c>
      <c r="K870" s="0" t="n">
        <f aca="false">J869-J870</f>
        <v>0.244266041738868</v>
      </c>
    </row>
    <row r="871" customFormat="false" ht="12.8" hidden="false" customHeight="false" outlineLevel="0" collapsed="false">
      <c r="A871" s="0" t="n">
        <v>1</v>
      </c>
      <c r="B871" s="0" t="n">
        <f aca="false">B870+A871</f>
        <v>868</v>
      </c>
      <c r="C871" s="0" t="n">
        <f aca="false">$C$3+($G$1/($E$1*86.4))*SINH($E$1*B871*86.4/$G$1)</f>
        <v>46644.4064162108</v>
      </c>
      <c r="D871" s="0" t="n">
        <f aca="false">C871-$C$3-B871</f>
        <v>1172.40641621077</v>
      </c>
      <c r="E871" s="0" t="n">
        <f aca="false">$E$1*B871*86.4</f>
        <v>735702.912</v>
      </c>
      <c r="F871" s="0" t="n">
        <f aca="false">$G$1*G871</f>
        <v>295585.656444331</v>
      </c>
      <c r="G871" s="0" t="n">
        <f aca="false">TANH($E$1*B871*86.4/$G$1)</f>
        <v>0.985285521481104</v>
      </c>
      <c r="H871" s="0" t="n">
        <f aca="false">COSH($E$1*B871*86.4/$G$1)</f>
        <v>5.85081107345036</v>
      </c>
      <c r="I871" s="0" t="n">
        <f aca="false">(($G$1^2*1000)/($E$1*$I$1))*(H871-1)</f>
        <v>4.70392079790987</v>
      </c>
      <c r="J871" s="0" t="n">
        <f aca="false">$J$3*EXP(-$E$1*B871*86.4/$G$1)</f>
        <v>86.0916338584075</v>
      </c>
      <c r="K871" s="0" t="n">
        <f aca="false">J870-J871</f>
        <v>0.243576895750053</v>
      </c>
    </row>
    <row r="872" customFormat="false" ht="12.8" hidden="false" customHeight="false" outlineLevel="0" collapsed="false">
      <c r="A872" s="0" t="n">
        <v>1</v>
      </c>
      <c r="B872" s="0" t="n">
        <f aca="false">B871+A872</f>
        <v>869</v>
      </c>
      <c r="C872" s="0" t="n">
        <f aca="false">$C$3+($G$1/($E$1*86.4))*SINH($E$1*B872*86.4/$G$1)</f>
        <v>46650.2653785466</v>
      </c>
      <c r="D872" s="0" t="n">
        <f aca="false">C872-$C$3-B872</f>
        <v>1177.26537854664</v>
      </c>
      <c r="E872" s="0" t="n">
        <f aca="false">$E$1*B872*86.4</f>
        <v>736550.496</v>
      </c>
      <c r="F872" s="0" t="n">
        <f aca="false">$G$1*G872</f>
        <v>295610.347643287</v>
      </c>
      <c r="G872" s="0" t="n">
        <f aca="false">TANH($E$1*B872*86.4/$G$1)</f>
        <v>0.985367825477624</v>
      </c>
      <c r="H872" s="0" t="n">
        <f aca="false">COSH($E$1*B872*86.4/$G$1)</f>
        <v>5.86712139286461</v>
      </c>
      <c r="I872" s="0" t="n">
        <f aca="false">(($G$1^2*1000)/($E$1*$I$1))*(H872-1)</f>
        <v>4.71973721490726</v>
      </c>
      <c r="J872" s="0" t="n">
        <f aca="false">$J$3*EXP(-$E$1*B872*86.4/$G$1)</f>
        <v>85.8487441643637</v>
      </c>
      <c r="K872" s="0" t="n">
        <f aca="false">J871-J872</f>
        <v>0.242889694043853</v>
      </c>
    </row>
    <row r="873" customFormat="false" ht="12.8" hidden="false" customHeight="false" outlineLevel="0" collapsed="false">
      <c r="A873" s="0" t="n">
        <v>1</v>
      </c>
      <c r="B873" s="0" t="n">
        <f aca="false">B872+A873</f>
        <v>870</v>
      </c>
      <c r="C873" s="0" t="n">
        <f aca="false">$C$3+($G$1/($E$1*86.4))*SINH($E$1*B873*86.4/$G$1)</f>
        <v>46656.1406746074</v>
      </c>
      <c r="D873" s="0" t="n">
        <f aca="false">C873-$C$3-B873</f>
        <v>1182.14067460736</v>
      </c>
      <c r="E873" s="0" t="n">
        <f aca="false">$E$1*B873*86.4</f>
        <v>737398.08</v>
      </c>
      <c r="F873" s="0" t="n">
        <f aca="false">$G$1*G873</f>
        <v>295634.90174664</v>
      </c>
      <c r="G873" s="0" t="n">
        <f aca="false">TANH($E$1*B873*86.4/$G$1)</f>
        <v>0.985449672488801</v>
      </c>
      <c r="H873" s="0" t="n">
        <f aca="false">COSH($E$1*B873*86.4/$G$1)</f>
        <v>5.88347854488792</v>
      </c>
      <c r="I873" s="0" t="n">
        <f aca="false">(($G$1^2*1000)/($E$1*$I$1))*(H873-1)</f>
        <v>4.73559904634781</v>
      </c>
      <c r="J873" s="0" t="n">
        <f aca="false">$J$3*EXP(-$E$1*B873*86.4/$G$1)</f>
        <v>85.6065397332291</v>
      </c>
      <c r="K873" s="0" t="n">
        <f aca="false">J872-J873</f>
        <v>0.242204431134596</v>
      </c>
    </row>
    <row r="874" customFormat="false" ht="12.8" hidden="false" customHeight="false" outlineLevel="0" collapsed="false">
      <c r="A874" s="0" t="n">
        <v>1</v>
      </c>
      <c r="B874" s="0" t="n">
        <f aca="false">B873+A874</f>
        <v>871</v>
      </c>
      <c r="C874" s="0" t="n">
        <f aca="false">$C$3+($G$1/($E$1*86.4))*SINH($E$1*B874*86.4/$G$1)</f>
        <v>46662.0323512908</v>
      </c>
      <c r="D874" s="0" t="n">
        <f aca="false">C874-$C$3-B874</f>
        <v>1187.0323512908</v>
      </c>
      <c r="E874" s="0" t="n">
        <f aca="false">$E$1*B874*86.4</f>
        <v>738245.664</v>
      </c>
      <c r="F874" s="0" t="n">
        <f aca="false">$G$1*G874</f>
        <v>295659.319504309</v>
      </c>
      <c r="G874" s="0" t="n">
        <f aca="false">TANH($E$1*B874*86.4/$G$1)</f>
        <v>0.985531065014364</v>
      </c>
      <c r="H874" s="0" t="n">
        <f aca="false">COSH($E$1*B874*86.4/$G$1)</f>
        <v>5.89988266008655</v>
      </c>
      <c r="I874" s="0" t="n">
        <f aca="false">(($G$1^2*1000)/($E$1*$I$1))*(H874-1)</f>
        <v>4.75150641884403</v>
      </c>
      <c r="J874" s="0" t="n">
        <f aca="false">$J$3*EXP(-$E$1*B874*86.4/$G$1)</f>
        <v>85.3650186316765</v>
      </c>
      <c r="K874" s="0" t="n">
        <f aca="false">J873-J874</f>
        <v>0.241521101552635</v>
      </c>
    </row>
    <row r="875" customFormat="false" ht="12.8" hidden="false" customHeight="false" outlineLevel="0" collapsed="false">
      <c r="A875" s="0" t="n">
        <v>1</v>
      </c>
      <c r="B875" s="0" t="n">
        <f aca="false">B874+A875</f>
        <v>872</v>
      </c>
      <c r="C875" s="0" t="n">
        <f aca="false">$C$3+($G$1/($E$1*86.4))*SINH($E$1*B875*86.4/$G$1)</f>
        <v>46667.9404556256</v>
      </c>
      <c r="D875" s="0" t="n">
        <f aca="false">C875-$C$3-B875</f>
        <v>1191.94045562557</v>
      </c>
      <c r="E875" s="0" t="n">
        <f aca="false">$E$1*B875*86.4</f>
        <v>739093.248</v>
      </c>
      <c r="F875" s="0" t="n">
        <f aca="false">$G$1*G875</f>
        <v>295683.601662235</v>
      </c>
      <c r="G875" s="0" t="n">
        <f aca="false">TANH($E$1*B875*86.4/$G$1)</f>
        <v>0.985612005540782</v>
      </c>
      <c r="H875" s="0" t="n">
        <f aca="false">COSH($E$1*B875*86.4/$G$1)</f>
        <v>5.91633386940164</v>
      </c>
      <c r="I875" s="0" t="n">
        <f aca="false">(($G$1^2*1000)/($E$1*$I$1))*(H875-1)</f>
        <v>4.76745945937194</v>
      </c>
      <c r="J875" s="0" t="n">
        <f aca="false">$J$3*EXP(-$E$1*B875*86.4/$G$1)</f>
        <v>85.124178931833</v>
      </c>
      <c r="K875" s="0" t="n">
        <f aca="false">J874-J875</f>
        <v>0.24083969984342</v>
      </c>
    </row>
    <row r="876" customFormat="false" ht="12.8" hidden="false" customHeight="false" outlineLevel="0" collapsed="false">
      <c r="A876" s="0" t="n">
        <v>1</v>
      </c>
      <c r="B876" s="0" t="n">
        <f aca="false">B875+A876</f>
        <v>873</v>
      </c>
      <c r="C876" s="0" t="n">
        <f aca="false">$C$3+($G$1/($E$1*86.4))*SINH($E$1*B876*86.4/$G$1)</f>
        <v>46673.8650347714</v>
      </c>
      <c r="D876" s="0" t="n">
        <f aca="false">C876-$C$3-B876</f>
        <v>1196.86503477141</v>
      </c>
      <c r="E876" s="0" t="n">
        <f aca="false">$E$1*B876*86.4</f>
        <v>739940.832</v>
      </c>
      <c r="F876" s="0" t="n">
        <f aca="false">$G$1*G876</f>
        <v>295707.748962403</v>
      </c>
      <c r="G876" s="0" t="n">
        <f aca="false">TANH($E$1*B876*86.4/$G$1)</f>
        <v>0.985692496541342</v>
      </c>
      <c r="H876" s="0" t="n">
        <f aca="false">COSH($E$1*B876*86.4/$G$1)</f>
        <v>5.93283230415024</v>
      </c>
      <c r="I876" s="0" t="n">
        <f aca="false">(($G$1^2*1000)/($E$1*$I$1))*(H876-1)</f>
        <v>4.78345829527212</v>
      </c>
      <c r="J876" s="0" t="n">
        <f aca="false">$J$3*EXP(-$E$1*B876*86.4/$G$1)</f>
        <v>84.8840187112651</v>
      </c>
      <c r="K876" s="0" t="n">
        <f aca="false">J875-J876</f>
        <v>0.240160220567887</v>
      </c>
    </row>
    <row r="877" customFormat="false" ht="12.8" hidden="false" customHeight="false" outlineLevel="0" collapsed="false">
      <c r="A877" s="0" t="n">
        <v>1</v>
      </c>
      <c r="B877" s="0" t="n">
        <f aca="false">B876+A877</f>
        <v>874</v>
      </c>
      <c r="C877" s="0" t="n">
        <f aca="false">$C$3+($G$1/($E$1*86.4))*SINH($E$1*B877*86.4/$G$1)</f>
        <v>46679.8061360196</v>
      </c>
      <c r="D877" s="0" t="n">
        <f aca="false">C877-$C$3-B877</f>
        <v>1201.80613601957</v>
      </c>
      <c r="E877" s="0" t="n">
        <f aca="false">$E$1*B877*86.4</f>
        <v>740788.416</v>
      </c>
      <c r="F877" s="0" t="n">
        <f aca="false">$G$1*G877</f>
        <v>295731.762142862</v>
      </c>
      <c r="G877" s="0" t="n">
        <f aca="false">TANH($E$1*B877*86.4/$G$1)</f>
        <v>0.985772540476206</v>
      </c>
      <c r="H877" s="0" t="n">
        <f aca="false">COSH($E$1*B877*86.4/$G$1)</f>
        <v>5.94937809602635</v>
      </c>
      <c r="I877" s="0" t="n">
        <f aca="false">(($G$1^2*1000)/($E$1*$I$1))*(H877-1)</f>
        <v>4.79950305425065</v>
      </c>
      <c r="J877" s="0" t="n">
        <f aca="false">$J$3*EXP(-$E$1*B877*86.4/$G$1)</f>
        <v>84.644536052963</v>
      </c>
      <c r="K877" s="0" t="n">
        <f aca="false">J876-J877</f>
        <v>0.239482658302137</v>
      </c>
    </row>
    <row r="878" customFormat="false" ht="12.8" hidden="false" customHeight="false" outlineLevel="0" collapsed="false">
      <c r="A878" s="0" t="n">
        <v>1</v>
      </c>
      <c r="B878" s="0" t="n">
        <f aca="false">B877+A878</f>
        <v>875</v>
      </c>
      <c r="C878" s="0" t="n">
        <f aca="false">$C$3+($G$1/($E$1*86.4))*SINH($E$1*B878*86.4/$G$1)</f>
        <v>46685.7638067932</v>
      </c>
      <c r="D878" s="0" t="n">
        <f aca="false">C878-$C$3-B878</f>
        <v>1206.76380679319</v>
      </c>
      <c r="E878" s="0" t="n">
        <f aca="false">$E$1*B878*86.4</f>
        <v>741636</v>
      </c>
      <c r="F878" s="0" t="n">
        <f aca="false">$G$1*G878</f>
        <v>295755.641937743</v>
      </c>
      <c r="G878" s="0" t="n">
        <f aca="false">TANH($E$1*B878*86.4/$G$1)</f>
        <v>0.985852139792477</v>
      </c>
      <c r="H878" s="0" t="n">
        <f aca="false">COSH($E$1*B878*86.4/$G$1)</f>
        <v>5.965971377102</v>
      </c>
      <c r="I878" s="0" t="n">
        <f aca="false">(($G$1^2*1000)/($E$1*$I$1))*(H878-1)</f>
        <v>4.81559386438022</v>
      </c>
      <c r="J878" s="0" t="n">
        <f aca="false">$J$3*EXP(-$E$1*B878*86.4/$G$1)</f>
        <v>84.4057290453252</v>
      </c>
      <c r="K878" s="0" t="n">
        <f aca="false">J877-J878</f>
        <v>0.23880700763786</v>
      </c>
    </row>
    <row r="879" customFormat="false" ht="12.8" hidden="false" customHeight="false" outlineLevel="0" collapsed="false">
      <c r="A879" s="0" t="n">
        <v>1</v>
      </c>
      <c r="B879" s="0" t="n">
        <f aca="false">B878+A879</f>
        <v>876</v>
      </c>
      <c r="C879" s="0" t="n">
        <f aca="false">$C$3+($G$1/($E$1*86.4))*SINH($E$1*B879*86.4/$G$1)</f>
        <v>46691.7380946477</v>
      </c>
      <c r="D879" s="0" t="n">
        <f aca="false">C879-$C$3-B879</f>
        <v>1211.73809464766</v>
      </c>
      <c r="E879" s="0" t="n">
        <f aca="false">$E$1*B879*86.4</f>
        <v>742483.584</v>
      </c>
      <c r="F879" s="0" t="n">
        <f aca="false">$G$1*G879</f>
        <v>295779.38907728</v>
      </c>
      <c r="G879" s="0" t="n">
        <f aca="false">TANH($E$1*B879*86.4/$G$1)</f>
        <v>0.985931296924266</v>
      </c>
      <c r="H879" s="0" t="n">
        <f aca="false">COSH($E$1*B879*86.4/$G$1)</f>
        <v>5.98261227982828</v>
      </c>
      <c r="I879" s="0" t="n">
        <f aca="false">(($G$1^2*1000)/($E$1*$I$1))*(H879-1)</f>
        <v>4.8317308541011</v>
      </c>
      <c r="J879" s="0" t="n">
        <f aca="false">$J$3*EXP(-$E$1*B879*86.4/$G$1)</f>
        <v>84.1675957821432</v>
      </c>
      <c r="K879" s="0" t="n">
        <f aca="false">J878-J879</f>
        <v>0.238133263181922</v>
      </c>
    </row>
    <row r="880" customFormat="false" ht="12.8" hidden="false" customHeight="false" outlineLevel="0" collapsed="false">
      <c r="A880" s="0" t="n">
        <v>1</v>
      </c>
      <c r="B880" s="0" t="n">
        <f aca="false">B879+A880</f>
        <v>877</v>
      </c>
      <c r="C880" s="0" t="n">
        <f aca="false">$C$3+($G$1/($E$1*86.4))*SINH($E$1*B880*86.4/$G$1)</f>
        <v>46697.729047271</v>
      </c>
      <c r="D880" s="0" t="n">
        <f aca="false">C880-$C$3-B880</f>
        <v>1216.72904727101</v>
      </c>
      <c r="E880" s="0" t="n">
        <f aca="false">$E$1*B880*86.4</f>
        <v>743331.168</v>
      </c>
      <c r="F880" s="0" t="n">
        <f aca="false">$G$1*G880</f>
        <v>295803.004287827</v>
      </c>
      <c r="G880" s="0" t="n">
        <f aca="false">TANH($E$1*B880*86.4/$G$1)</f>
        <v>0.986010014292757</v>
      </c>
      <c r="H880" s="0" t="n">
        <f aca="false">COSH($E$1*B880*86.4/$G$1)</f>
        <v>5.99930093703642</v>
      </c>
      <c r="I880" s="0" t="n">
        <f aca="false">(($G$1^2*1000)/($E$1*$I$1))*(H880-1)</f>
        <v>4.84791415222214</v>
      </c>
      <c r="J880" s="0" t="n">
        <f aca="false">$J$3*EXP(-$E$1*B880*86.4/$G$1)</f>
        <v>83.9301343625871</v>
      </c>
      <c r="K880" s="0" t="n">
        <f aca="false">J879-J880</f>
        <v>0.237461419556141</v>
      </c>
    </row>
    <row r="881" customFormat="false" ht="12.8" hidden="false" customHeight="false" outlineLevel="0" collapsed="false">
      <c r="A881" s="0" t="n">
        <v>1</v>
      </c>
      <c r="B881" s="0" t="n">
        <f aca="false">B880+A881</f>
        <v>878</v>
      </c>
      <c r="C881" s="0" t="n">
        <f aca="false">$C$3+($G$1/($E$1*86.4))*SINH($E$1*B881*86.4/$G$1)</f>
        <v>46703.7367124843</v>
      </c>
      <c r="D881" s="0" t="n">
        <f aca="false">C881-$C$3-B881</f>
        <v>1221.73671248429</v>
      </c>
      <c r="E881" s="0" t="n">
        <f aca="false">$E$1*B881*86.4</f>
        <v>744178.752</v>
      </c>
      <c r="F881" s="0" t="n">
        <f aca="false">$G$1*G881</f>
        <v>295826.488291881</v>
      </c>
      <c r="G881" s="0" t="n">
        <f aca="false">TANH($E$1*B881*86.4/$G$1)</f>
        <v>0.986088294306269</v>
      </c>
      <c r="H881" s="0" t="n">
        <f aca="false">COSH($E$1*B881*86.4/$G$1)</f>
        <v>6.01603748193881</v>
      </c>
      <c r="I881" s="0" t="n">
        <f aca="false">(($G$1^2*1000)/($E$1*$I$1))*(H881-1)</f>
        <v>4.8641438879219</v>
      </c>
      <c r="J881" s="0" t="n">
        <f aca="false">$J$3*EXP(-$E$1*B881*86.4/$G$1)</f>
        <v>83.6933428911892</v>
      </c>
      <c r="K881" s="0" t="n">
        <f aca="false">J880-J881</f>
        <v>0.236791471397922</v>
      </c>
    </row>
    <row r="882" customFormat="false" ht="12.8" hidden="false" customHeight="false" outlineLevel="0" collapsed="false">
      <c r="A882" s="0" t="n">
        <v>1</v>
      </c>
      <c r="B882" s="0" t="n">
        <f aca="false">B881+A882</f>
        <v>879</v>
      </c>
      <c r="C882" s="0" t="n">
        <f aca="false">$C$3+($G$1/($E$1*86.4))*SINH($E$1*B882*86.4/$G$1)</f>
        <v>46709.761138242</v>
      </c>
      <c r="D882" s="0" t="n">
        <f aca="false">C882-$C$3-B882</f>
        <v>1226.76113824198</v>
      </c>
      <c r="E882" s="0" t="n">
        <f aca="false">$E$1*B882*86.4</f>
        <v>745026.336</v>
      </c>
      <c r="F882" s="0" t="n">
        <f aca="false">$G$1*G882</f>
        <v>295849.841808096</v>
      </c>
      <c r="G882" s="0" t="n">
        <f aca="false">TANH($E$1*B882*86.4/$G$1)</f>
        <v>0.986166139360319</v>
      </c>
      <c r="H882" s="0" t="n">
        <f aca="false">COSH($E$1*B882*86.4/$G$1)</f>
        <v>6.03282204813012</v>
      </c>
      <c r="I882" s="0" t="n">
        <f aca="false">(($G$1^2*1000)/($E$1*$I$1))*(H882-1)</f>
        <v>4.88042019074954</v>
      </c>
      <c r="J882" s="0" t="n">
        <f aca="false">$J$3*EXP(-$E$1*B882*86.4/$G$1)</f>
        <v>83.4572194778297</v>
      </c>
      <c r="K882" s="0" t="n">
        <f aca="false">J881-J882</f>
        <v>0.236123413359465</v>
      </c>
    </row>
    <row r="883" customFormat="false" ht="12.8" hidden="false" customHeight="false" outlineLevel="0" collapsed="false">
      <c r="A883" s="0" t="n">
        <v>1</v>
      </c>
      <c r="B883" s="0" t="n">
        <f aca="false">B882+A883</f>
        <v>880</v>
      </c>
      <c r="C883" s="0" t="n">
        <f aca="false">$C$3+($G$1/($E$1*86.4))*SINH($E$1*B883*86.4/$G$1)</f>
        <v>46715.8023726323</v>
      </c>
      <c r="D883" s="0" t="n">
        <f aca="false">C883-$C$3-B883</f>
        <v>1231.8023726323</v>
      </c>
      <c r="E883" s="0" t="n">
        <f aca="false">$E$1*B883*86.4</f>
        <v>745873.92</v>
      </c>
      <c r="F883" s="0" t="n">
        <f aca="false">$G$1*G883</f>
        <v>295873.065551307</v>
      </c>
      <c r="G883" s="0" t="n">
        <f aca="false">TANH($E$1*B883*86.4/$G$1)</f>
        <v>0.986243551837689</v>
      </c>
      <c r="H883" s="0" t="n">
        <f aca="false">COSH($E$1*B883*86.4/$G$1)</f>
        <v>6.04965476958832</v>
      </c>
      <c r="I883" s="0" t="n">
        <f aca="false">(($G$1^2*1000)/($E$1*$I$1))*(H883-1)</f>
        <v>4.896743190626</v>
      </c>
      <c r="J883" s="0" t="n">
        <f aca="false">$J$3*EXP(-$E$1*B883*86.4/$G$1)</f>
        <v>83.2217622377213</v>
      </c>
      <c r="K883" s="0" t="n">
        <f aca="false">J882-J883</f>
        <v>0.23545724010836</v>
      </c>
    </row>
    <row r="884" customFormat="false" ht="12.8" hidden="false" customHeight="false" outlineLevel="0" collapsed="false">
      <c r="A884" s="0" t="n">
        <v>1</v>
      </c>
      <c r="B884" s="0" t="n">
        <f aca="false">B883+A884</f>
        <v>881</v>
      </c>
      <c r="C884" s="0" t="n">
        <f aca="false">$C$3+($G$1/($E$1*86.4))*SINH($E$1*B884*86.4/$G$1)</f>
        <v>46721.8604638777</v>
      </c>
      <c r="D884" s="0" t="n">
        <f aca="false">C884-$C$3-B884</f>
        <v>1236.86046387769</v>
      </c>
      <c r="E884" s="0" t="n">
        <f aca="false">$E$1*B884*86.4</f>
        <v>746721.504</v>
      </c>
      <c r="F884" s="0" t="n">
        <f aca="false">$G$1*G884</f>
        <v>295896.160232546</v>
      </c>
      <c r="G884" s="0" t="n">
        <f aca="false">TANH($E$1*B884*86.4/$G$1)</f>
        <v>0.986320534108487</v>
      </c>
      <c r="H884" s="0" t="n">
        <f aca="false">COSH($E$1*B884*86.4/$G$1)</f>
        <v>6.06653578067576</v>
      </c>
      <c r="I884" s="0" t="n">
        <f aca="false">(($G$1^2*1000)/($E$1*$I$1))*(H884-1)</f>
        <v>4.91311301784491</v>
      </c>
      <c r="J884" s="0" t="n">
        <f aca="false">$J$3*EXP(-$E$1*B884*86.4/$G$1)</f>
        <v>82.9869692913945</v>
      </c>
      <c r="K884" s="0" t="n">
        <f aca="false">J883-J884</f>
        <v>0.234792946326792</v>
      </c>
    </row>
    <row r="885" customFormat="false" ht="12.8" hidden="false" customHeight="false" outlineLevel="0" collapsed="false">
      <c r="A885" s="0" t="n">
        <v>1</v>
      </c>
      <c r="B885" s="0" t="n">
        <f aca="false">B884+A885</f>
        <v>882</v>
      </c>
      <c r="C885" s="0" t="n">
        <f aca="false">$C$3+($G$1/($E$1*86.4))*SINH($E$1*B885*86.4/$G$1)</f>
        <v>46727.9354603351</v>
      </c>
      <c r="D885" s="0" t="n">
        <f aca="false">C885-$C$3-B885</f>
        <v>1241.93546033511</v>
      </c>
      <c r="E885" s="0" t="n">
        <f aca="false">$E$1*B885*86.4</f>
        <v>747569.088</v>
      </c>
      <c r="F885" s="0" t="n">
        <f aca="false">$G$1*G885</f>
        <v>295919.126559064</v>
      </c>
      <c r="G885" s="0" t="n">
        <f aca="false">TANH($E$1*B885*86.4/$G$1)</f>
        <v>0.986397088530214</v>
      </c>
      <c r="H885" s="0" t="n">
        <f aca="false">COSH($E$1*B885*86.4/$G$1)</f>
        <v>6.08346521614026</v>
      </c>
      <c r="I885" s="0" t="n">
        <f aca="false">(($G$1^2*1000)/($E$1*$I$1))*(H885-1)</f>
        <v>4.92952980307372</v>
      </c>
      <c r="J885" s="0" t="n">
        <f aca="false">$J$3*EXP(-$E$1*B885*86.4/$G$1)</f>
        <v>82.752838764682</v>
      </c>
      <c r="K885" s="0" t="n">
        <f aca="false">J884-J885</f>
        <v>0.234130526712505</v>
      </c>
    </row>
    <row r="886" customFormat="false" ht="12.8" hidden="false" customHeight="false" outlineLevel="0" collapsed="false">
      <c r="A886" s="0" t="n">
        <v>1</v>
      </c>
      <c r="B886" s="0" t="n">
        <f aca="false">B885+A886</f>
        <v>883</v>
      </c>
      <c r="C886" s="0" t="n">
        <f aca="false">$C$3+($G$1/($E$1*86.4))*SINH($E$1*B886*86.4/$G$1)</f>
        <v>46734.0274104965</v>
      </c>
      <c r="D886" s="0" t="n">
        <f aca="false">C886-$C$3-B886</f>
        <v>1247.02741049647</v>
      </c>
      <c r="E886" s="0" t="n">
        <f aca="false">$E$1*B886*86.4</f>
        <v>748416.672</v>
      </c>
      <c r="F886" s="0" t="n">
        <f aca="false">$G$1*G886</f>
        <v>295941.965234345</v>
      </c>
      <c r="G886" s="0" t="n">
        <f aca="false">TANH($E$1*B886*86.4/$G$1)</f>
        <v>0.986473217447818</v>
      </c>
      <c r="H886" s="0" t="n">
        <f aca="false">COSH($E$1*B886*86.4/$G$1)</f>
        <v>6.10044321111618</v>
      </c>
      <c r="I886" s="0" t="n">
        <f aca="false">(($G$1^2*1000)/($E$1*$I$1))*(H886-1)</f>
        <v>4.94599367735468</v>
      </c>
      <c r="J886" s="0" t="n">
        <f aca="false">$J$3*EXP(-$E$1*B886*86.4/$G$1)</f>
        <v>82.5193687887043</v>
      </c>
      <c r="K886" s="0" t="n">
        <f aca="false">J885-J886</f>
        <v>0.233469975977741</v>
      </c>
    </row>
    <row r="887" customFormat="false" ht="12.8" hidden="false" customHeight="false" outlineLevel="0" collapsed="false">
      <c r="A887" s="0" t="n">
        <v>1</v>
      </c>
      <c r="B887" s="0" t="n">
        <f aca="false">B886+A887</f>
        <v>884</v>
      </c>
      <c r="C887" s="0" t="n">
        <f aca="false">$C$3+($G$1/($E$1*86.4))*SINH($E$1*B887*86.4/$G$1)</f>
        <v>46740.136362989</v>
      </c>
      <c r="D887" s="0" t="n">
        <f aca="false">C887-$C$3-B887</f>
        <v>1252.13636298902</v>
      </c>
      <c r="E887" s="0" t="n">
        <f aca="false">$E$1*B887*86.4</f>
        <v>749264.256</v>
      </c>
      <c r="F887" s="0" t="n">
        <f aca="false">$G$1*G887</f>
        <v>295964.67695813</v>
      </c>
      <c r="G887" s="0" t="n">
        <f aca="false">TANH($E$1*B887*86.4/$G$1)</f>
        <v>0.986548923193767</v>
      </c>
      <c r="H887" s="0" t="n">
        <f aca="false">COSH($E$1*B887*86.4/$G$1)</f>
        <v>6.11746990112546</v>
      </c>
      <c r="I887" s="0" t="n">
        <f aca="false">(($G$1^2*1000)/($E$1*$I$1))*(H887-1)</f>
        <v>4.96250477210595</v>
      </c>
      <c r="J887" s="0" t="n">
        <f aca="false">$J$3*EXP(-$E$1*B887*86.4/$G$1)</f>
        <v>82.2865574998543</v>
      </c>
      <c r="K887" s="0" t="n">
        <f aca="false">J886-J887</f>
        <v>0.232811288849973</v>
      </c>
    </row>
    <row r="888" customFormat="false" ht="12.8" hidden="false" customHeight="false" outlineLevel="0" collapsed="false">
      <c r="A888" s="0" t="n">
        <v>1</v>
      </c>
      <c r="B888" s="0" t="n">
        <f aca="false">B887+A888</f>
        <v>885</v>
      </c>
      <c r="C888" s="0" t="n">
        <f aca="false">$C$3+($G$1/($E$1*86.4))*SINH($E$1*B888*86.4/$G$1)</f>
        <v>46746.2623665757</v>
      </c>
      <c r="D888" s="0" t="n">
        <f aca="false">C888-$C$3-B888</f>
        <v>1257.2623665757</v>
      </c>
      <c r="E888" s="0" t="n">
        <f aca="false">$E$1*B888*86.4</f>
        <v>750111.84</v>
      </c>
      <c r="F888" s="0" t="n">
        <f aca="false">$G$1*G888</f>
        <v>295987.262426432</v>
      </c>
      <c r="G888" s="0" t="n">
        <f aca="false">TANH($E$1*B888*86.4/$G$1)</f>
        <v>0.986624208088107</v>
      </c>
      <c r="H888" s="0" t="n">
        <f aca="false">COSH($E$1*B888*86.4/$G$1)</f>
        <v>6.13454542207877</v>
      </c>
      <c r="I888" s="0" t="n">
        <f aca="false">(($G$1^2*1000)/($E$1*$I$1))*(H888-1)</f>
        <v>4.97906321912259</v>
      </c>
      <c r="J888" s="0" t="n">
        <f aca="false">$J$3*EXP(-$E$1*B888*86.4/$G$1)</f>
        <v>82.054403039783</v>
      </c>
      <c r="K888" s="0" t="n">
        <f aca="false">J887-J888</f>
        <v>0.2321544600713</v>
      </c>
    </row>
    <row r="889" customFormat="false" ht="12.8" hidden="false" customHeight="false" outlineLevel="0" collapsed="false">
      <c r="A889" s="0" t="n">
        <v>1</v>
      </c>
      <c r="B889" s="0" t="n">
        <f aca="false">B888+A889</f>
        <v>886</v>
      </c>
      <c r="C889" s="0" t="n">
        <f aca="false">$C$3+($G$1/($E$1*86.4))*SINH($E$1*B889*86.4/$G$1)</f>
        <v>46752.4054701556</v>
      </c>
      <c r="D889" s="0" t="n">
        <f aca="false">C889-$C$3-B889</f>
        <v>1262.40547015559</v>
      </c>
      <c r="E889" s="0" t="n">
        <f aca="false">$E$1*B889*86.4</f>
        <v>750959.424</v>
      </c>
      <c r="F889" s="0" t="n">
        <f aca="false">$G$1*G889</f>
        <v>296009.722331556</v>
      </c>
      <c r="G889" s="0" t="n">
        <f aca="false">TANH($E$1*B889*86.4/$G$1)</f>
        <v>0.98669907443852</v>
      </c>
      <c r="H889" s="0" t="n">
        <f aca="false">COSH($E$1*B889*86.4/$G$1)</f>
        <v>6.15166991027655</v>
      </c>
      <c r="I889" s="0" t="n">
        <f aca="false">(($G$1^2*1000)/($E$1*$I$1))*(H889-1)</f>
        <v>4.99566915057763</v>
      </c>
      <c r="J889" s="0" t="n">
        <f aca="false">$J$3*EXP(-$E$1*B889*86.4/$G$1)</f>
        <v>81.8229035553841</v>
      </c>
      <c r="K889" s="0" t="n">
        <f aca="false">J888-J889</f>
        <v>0.231499484398896</v>
      </c>
    </row>
    <row r="890" customFormat="false" ht="12.8" hidden="false" customHeight="false" outlineLevel="0" collapsed="false">
      <c r="A890" s="0" t="n">
        <v>1</v>
      </c>
      <c r="B890" s="0" t="n">
        <f aca="false">B889+A890</f>
        <v>887</v>
      </c>
      <c r="C890" s="0" t="n">
        <f aca="false">$C$3+($G$1/($E$1*86.4))*SINH($E$1*B890*86.4/$G$1)</f>
        <v>46758.5657227642</v>
      </c>
      <c r="D890" s="0" t="n">
        <f aca="false">C890-$C$3-B890</f>
        <v>1267.56572276423</v>
      </c>
      <c r="E890" s="0" t="n">
        <f aca="false">$E$1*B890*86.4</f>
        <v>751807.008</v>
      </c>
      <c r="F890" s="0" t="n">
        <f aca="false">$G$1*G890</f>
        <v>296032.057362118</v>
      </c>
      <c r="G890" s="0" t="n">
        <f aca="false">TANH($E$1*B890*86.4/$G$1)</f>
        <v>0.986773524540394</v>
      </c>
      <c r="H890" s="0" t="n">
        <f aca="false">COSH($E$1*B890*86.4/$G$1)</f>
        <v>6.1688435024101</v>
      </c>
      <c r="I890" s="0" t="n">
        <f aca="false">(($G$1^2*1000)/($E$1*$I$1))*(H890-1)</f>
        <v>5.01232269902316</v>
      </c>
      <c r="J890" s="0" t="n">
        <f aca="false">$J$3*EXP(-$E$1*B890*86.4/$G$1)</f>
        <v>81.5920571987796</v>
      </c>
      <c r="K890" s="0" t="n">
        <f aca="false">J889-J890</f>
        <v>0.230846356604502</v>
      </c>
    </row>
    <row r="891" customFormat="false" ht="12.8" hidden="false" customHeight="false" outlineLevel="0" collapsed="false">
      <c r="A891" s="0" t="n">
        <v>1</v>
      </c>
      <c r="B891" s="0" t="n">
        <f aca="false">B890+A891</f>
        <v>888</v>
      </c>
      <c r="C891" s="0" t="n">
        <f aca="false">$C$3+($G$1/($E$1*86.4))*SINH($E$1*B891*86.4/$G$1)</f>
        <v>46764.7431735741</v>
      </c>
      <c r="D891" s="0" t="n">
        <f aca="false">C891-$C$3-B891</f>
        <v>1272.74317357407</v>
      </c>
      <c r="E891" s="0" t="n">
        <f aca="false">$E$1*B891*86.4</f>
        <v>752654.592</v>
      </c>
      <c r="F891" s="0" t="n">
        <f aca="false">$G$1*G891</f>
        <v>296054.268203063</v>
      </c>
      <c r="G891" s="0" t="n">
        <f aca="false">TANH($E$1*B891*86.4/$G$1)</f>
        <v>0.986847560676877</v>
      </c>
      <c r="H891" s="0" t="n">
        <f aca="false">COSH($E$1*B891*86.4/$G$1)</f>
        <v>6.18606633556266</v>
      </c>
      <c r="I891" s="0" t="n">
        <f aca="false">(($G$1^2*1000)/($E$1*$I$1))*(H891-1)</f>
        <v>5.02902399739132</v>
      </c>
      <c r="J891" s="0" t="n">
        <f aca="false">$J$3*EXP(-$E$1*B891*86.4/$G$1)</f>
        <v>81.3618621273049</v>
      </c>
      <c r="K891" s="0" t="n">
        <f aca="false">J890-J891</f>
        <v>0.230195071474739</v>
      </c>
    </row>
    <row r="892" customFormat="false" ht="12.8" hidden="false" customHeight="false" outlineLevel="0" collapsed="false">
      <c r="A892" s="0" t="n">
        <v>1</v>
      </c>
      <c r="B892" s="0" t="n">
        <f aca="false">B891+A892</f>
        <v>889</v>
      </c>
      <c r="C892" s="0" t="n">
        <f aca="false">$C$3+($G$1/($E$1*86.4))*SINH($E$1*B892*86.4/$G$1)</f>
        <v>46770.9378718948</v>
      </c>
      <c r="D892" s="0" t="n">
        <f aca="false">C892-$C$3-B892</f>
        <v>1277.93787189484</v>
      </c>
      <c r="E892" s="0" t="n">
        <f aca="false">$E$1*B892*86.4</f>
        <v>753502.176</v>
      </c>
      <c r="F892" s="0" t="n">
        <f aca="false">$G$1*G892</f>
        <v>296076.355535683</v>
      </c>
      <c r="G892" s="0" t="n">
        <f aca="false">TANH($E$1*B892*86.4/$G$1)</f>
        <v>0.986921185118943</v>
      </c>
      <c r="H892" s="0" t="n">
        <f aca="false">COSH($E$1*B892*86.4/$G$1)</f>
        <v>6.20333854721056</v>
      </c>
      <c r="I892" s="0" t="n">
        <f aca="false">(($G$1^2*1000)/($E$1*$I$1))*(H892-1)</f>
        <v>5.04577317899544</v>
      </c>
      <c r="J892" s="0" t="n">
        <f aca="false">$J$3*EXP(-$E$1*B892*86.4/$G$1)</f>
        <v>81.1323165034939</v>
      </c>
      <c r="K892" s="0" t="n">
        <f aca="false">J891-J892</f>
        <v>0.229545623810992</v>
      </c>
    </row>
    <row r="893" customFormat="false" ht="12.8" hidden="false" customHeight="false" outlineLevel="0" collapsed="false">
      <c r="A893" s="0" t="n">
        <v>1</v>
      </c>
      <c r="B893" s="0" t="n">
        <f aca="false">B892+A893</f>
        <v>890</v>
      </c>
      <c r="C893" s="0" t="n">
        <f aca="false">$C$3+($G$1/($E$1*86.4))*SINH($E$1*B893*86.4/$G$1)</f>
        <v>46777.149867174</v>
      </c>
      <c r="D893" s="0" t="n">
        <f aca="false">C893-$C$3-B893</f>
        <v>1283.14986717395</v>
      </c>
      <c r="E893" s="0" t="n">
        <f aca="false">$E$1*B893*86.4</f>
        <v>754349.76</v>
      </c>
      <c r="F893" s="0" t="n">
        <f aca="false">$G$1*G893</f>
        <v>296098.320037635</v>
      </c>
      <c r="G893" s="0" t="n">
        <f aca="false">TANH($E$1*B893*86.4/$G$1)</f>
        <v>0.986994400125452</v>
      </c>
      <c r="H893" s="0" t="n">
        <f aca="false">COSH($E$1*B893*86.4/$G$1)</f>
        <v>6.22066027522427</v>
      </c>
      <c r="I893" s="0" t="n">
        <f aca="false">(($G$1^2*1000)/($E$1*$I$1))*(H893-1)</f>
        <v>5.06257037753103</v>
      </c>
      <c r="J893" s="0" t="n">
        <f aca="false">$J$3*EXP(-$E$1*B893*86.4/$G$1)</f>
        <v>80.9034184950648</v>
      </c>
      <c r="K893" s="0" t="n">
        <f aca="false">J892-J893</f>
        <v>0.228898008429084</v>
      </c>
    </row>
    <row r="894" customFormat="false" ht="12.8" hidden="false" customHeight="false" outlineLevel="0" collapsed="false">
      <c r="A894" s="0" t="n">
        <v>1</v>
      </c>
      <c r="B894" s="0" t="n">
        <f aca="false">B893+A894</f>
        <v>891</v>
      </c>
      <c r="C894" s="0" t="n">
        <f aca="false">$C$3+($G$1/($E$1*86.4))*SINH($E$1*B894*86.4/$G$1)</f>
        <v>46783.3792089968</v>
      </c>
      <c r="D894" s="0" t="n">
        <f aca="false">C894-$C$3-B894</f>
        <v>1288.37920899683</v>
      </c>
      <c r="E894" s="0" t="n">
        <f aca="false">$E$1*B894*86.4</f>
        <v>755197.344</v>
      </c>
      <c r="F894" s="0" t="n">
        <f aca="false">$G$1*G894</f>
        <v>296120.162382963</v>
      </c>
      <c r="G894" s="0" t="n">
        <f aca="false">TANH($E$1*B894*86.4/$G$1)</f>
        <v>0.987067207943209</v>
      </c>
      <c r="H894" s="0" t="n">
        <f aca="false">COSH($E$1*B894*86.4/$G$1)</f>
        <v>6.23803165786948</v>
      </c>
      <c r="I894" s="0" t="n">
        <f aca="false">(($G$1^2*1000)/($E$1*$I$1))*(H894-1)</f>
        <v>5.07941572707691</v>
      </c>
      <c r="J894" s="0" t="n">
        <f aca="false">$J$3*EXP(-$E$1*B894*86.4/$G$1)</f>
        <v>80.675166274905</v>
      </c>
      <c r="K894" s="0" t="n">
        <f aca="false">J893-J894</f>
        <v>0.228252220159803</v>
      </c>
    </row>
    <row r="895" customFormat="false" ht="12.8" hidden="false" customHeight="false" outlineLevel="0" collapsed="false">
      <c r="A895" s="0" t="n">
        <v>1</v>
      </c>
      <c r="B895" s="0" t="n">
        <f aca="false">B894+A895</f>
        <v>892</v>
      </c>
      <c r="C895" s="0" t="n">
        <f aca="false">$C$3+($G$1/($E$1*86.4))*SINH($E$1*B895*86.4/$G$1)</f>
        <v>46789.6259470874</v>
      </c>
      <c r="D895" s="0" t="n">
        <f aca="false">C895-$C$3-B895</f>
        <v>1293.62594708744</v>
      </c>
      <c r="E895" s="0" t="n">
        <f aca="false">$E$1*B895*86.4</f>
        <v>756044.928</v>
      </c>
      <c r="F895" s="0" t="n">
        <f aca="false">$G$1*G895</f>
        <v>296141.883242108</v>
      </c>
      <c r="G895" s="0" t="n">
        <f aca="false">TANH($E$1*B895*86.4/$G$1)</f>
        <v>0.987139610807028</v>
      </c>
      <c r="H895" s="0" t="n">
        <f aca="false">COSH($E$1*B895*86.4/$G$1)</f>
        <v>6.25545283380827</v>
      </c>
      <c r="I895" s="0" t="n">
        <f aca="false">(($G$1^2*1000)/($E$1*$I$1))*(H895-1)</f>
        <v>5.09630936209622</v>
      </c>
      <c r="J895" s="0" t="n">
        <f aca="false">$J$3*EXP(-$E$1*B895*86.4/$G$1)</f>
        <v>80.4475580210569</v>
      </c>
      <c r="K895" s="0" t="n">
        <f aca="false">J894-J895</f>
        <v>0.227608253848103</v>
      </c>
    </row>
    <row r="896" customFormat="false" ht="12.8" hidden="false" customHeight="false" outlineLevel="0" collapsed="false">
      <c r="A896" s="0" t="n">
        <v>1</v>
      </c>
      <c r="B896" s="0" t="n">
        <f aca="false">B895+A896</f>
        <v>893</v>
      </c>
      <c r="C896" s="0" t="n">
        <f aca="false">$C$3+($G$1/($E$1*86.4))*SINH($E$1*B896*86.4/$G$1)</f>
        <v>46795.8901313086</v>
      </c>
      <c r="D896" s="0" t="n">
        <f aca="false">C896-$C$3-B896</f>
        <v>1298.89013130857</v>
      </c>
      <c r="E896" s="0" t="n">
        <f aca="false">$E$1*B896*86.4</f>
        <v>756892.512</v>
      </c>
      <c r="F896" s="0" t="n">
        <f aca="false">$G$1*G896</f>
        <v>296163.483281936</v>
      </c>
      <c r="G896" s="0" t="n">
        <f aca="false">TANH($E$1*B896*86.4/$G$1)</f>
        <v>0.987211610939787</v>
      </c>
      <c r="H896" s="0" t="n">
        <f aca="false">COSH($E$1*B896*86.4/$G$1)</f>
        <v>6.27292394210016</v>
      </c>
      <c r="I896" s="0" t="n">
        <f aca="false">(($G$1^2*1000)/($E$1*$I$1))*(H896-1)</f>
        <v>5.11325141743755</v>
      </c>
      <c r="J896" s="0" t="n">
        <f aca="false">$J$3*EXP(-$E$1*B896*86.4/$G$1)</f>
        <v>80.220591916703</v>
      </c>
      <c r="K896" s="0" t="n">
        <f aca="false">J895-J896</f>
        <v>0.226966104353863</v>
      </c>
    </row>
    <row r="897" customFormat="false" ht="12.8" hidden="false" customHeight="false" outlineLevel="0" collapsed="false">
      <c r="A897" s="0" t="n">
        <v>1</v>
      </c>
      <c r="B897" s="0" t="n">
        <f aca="false">B896+A897</f>
        <v>894</v>
      </c>
      <c r="C897" s="0" t="n">
        <f aca="false">$C$3+($G$1/($E$1*86.4))*SINH($E$1*B897*86.4/$G$1)</f>
        <v>46802.1718116622</v>
      </c>
      <c r="D897" s="0" t="n">
        <f aca="false">C897-$C$3-B897</f>
        <v>1304.17181166224</v>
      </c>
      <c r="E897" s="0" t="n">
        <f aca="false">$E$1*B897*86.4</f>
        <v>757740.096</v>
      </c>
      <c r="F897" s="0" t="n">
        <f aca="false">$G$1*G897</f>
        <v>296184.963165748</v>
      </c>
      <c r="G897" s="0" t="n">
        <f aca="false">TANH($E$1*B897*86.4/$G$1)</f>
        <v>0.987283210552494</v>
      </c>
      <c r="H897" s="0" t="n">
        <f aca="false">COSH($E$1*B897*86.4/$G$1)</f>
        <v>6.29044512220326</v>
      </c>
      <c r="I897" s="0" t="n">
        <f aca="false">(($G$1^2*1000)/($E$1*$I$1))*(H897-1)</f>
        <v>5.130242028336</v>
      </c>
      <c r="J897" s="0" t="n">
        <f aca="false">$J$3*EXP(-$E$1*B897*86.4/$G$1)</f>
        <v>79.9942661501517</v>
      </c>
      <c r="K897" s="0" t="n">
        <f aca="false">J896-J897</f>
        <v>0.226325766551369</v>
      </c>
    </row>
    <row r="898" customFormat="false" ht="12.8" hidden="false" customHeight="false" outlineLevel="0" collapsed="false">
      <c r="A898" s="0" t="n">
        <v>1</v>
      </c>
      <c r="B898" s="0" t="n">
        <f aca="false">B897+A898</f>
        <v>895</v>
      </c>
      <c r="C898" s="0" t="n">
        <f aca="false">$C$3+($G$1/($E$1*86.4))*SINH($E$1*B898*86.4/$G$1)</f>
        <v>46808.4710382902</v>
      </c>
      <c r="D898" s="0" t="n">
        <f aca="false">C898-$C$3-B898</f>
        <v>1309.47103829019</v>
      </c>
      <c r="E898" s="0" t="n">
        <f aca="false">$E$1*B898*86.4</f>
        <v>758587.68</v>
      </c>
      <c r="F898" s="0" t="n">
        <f aca="false">$G$1*G898</f>
        <v>296206.323553303</v>
      </c>
      <c r="G898" s="0" t="n">
        <f aca="false">TANH($E$1*B898*86.4/$G$1)</f>
        <v>0.987354411844342</v>
      </c>
      <c r="H898" s="0" t="n">
        <f aca="false">COSH($E$1*B898*86.4/$G$1)</f>
        <v>6.30801651397533</v>
      </c>
      <c r="I898" s="0" t="n">
        <f aca="false">(($G$1^2*1000)/($E$1*$I$1))*(H898-1)</f>
        <v>5.14728133041422</v>
      </c>
      <c r="J898" s="0" t="n">
        <f aca="false">$J$3*EXP(-$E$1*B898*86.4/$G$1)</f>
        <v>79.7685789148226</v>
      </c>
      <c r="K898" s="0" t="n">
        <f aca="false">J897-J898</f>
        <v>0.225687235329104</v>
      </c>
    </row>
    <row r="899" customFormat="false" ht="12.8" hidden="false" customHeight="false" outlineLevel="0" collapsed="false">
      <c r="A899" s="0" t="n">
        <v>1</v>
      </c>
      <c r="B899" s="0" t="n">
        <f aca="false">B898+A899</f>
        <v>896</v>
      </c>
      <c r="C899" s="0" t="n">
        <f aca="false">$C$3+($G$1/($E$1*86.4))*SINH($E$1*B899*86.4/$G$1)</f>
        <v>46814.7878614742</v>
      </c>
      <c r="D899" s="0" t="n">
        <f aca="false">C899-$C$3-B899</f>
        <v>1314.78786147416</v>
      </c>
      <c r="E899" s="0" t="n">
        <f aca="false">$E$1*B899*86.4</f>
        <v>759435.264</v>
      </c>
      <c r="F899" s="0" t="n">
        <f aca="false">$G$1*G899</f>
        <v>296227.565100831</v>
      </c>
      <c r="G899" s="0" t="n">
        <f aca="false">TANH($E$1*B899*86.4/$G$1)</f>
        <v>0.987425217002771</v>
      </c>
      <c r="H899" s="0" t="n">
        <f aca="false">COSH($E$1*B899*86.4/$G$1)</f>
        <v>6.32563825767496</v>
      </c>
      <c r="I899" s="0" t="n">
        <f aca="false">(($G$1^2*1000)/($E$1*$I$1))*(H899-1)</f>
        <v>5.16436945968353</v>
      </c>
      <c r="J899" s="0" t="n">
        <f aca="false">$J$3*EXP(-$E$1*B899*86.4/$G$1)</f>
        <v>79.5435284092323</v>
      </c>
      <c r="K899" s="0" t="n">
        <f aca="false">J898-J899</f>
        <v>0.225050505590261</v>
      </c>
    </row>
    <row r="900" customFormat="false" ht="12.8" hidden="false" customHeight="false" outlineLevel="0" collapsed="false">
      <c r="A900" s="0" t="n">
        <v>1</v>
      </c>
      <c r="B900" s="0" t="n">
        <f aca="false">B899+A900</f>
        <v>897</v>
      </c>
      <c r="C900" s="0" t="n">
        <f aca="false">$C$3+($G$1/($E$1*86.4))*SINH($E$1*B900*86.4/$G$1)</f>
        <v>46821.1223316364</v>
      </c>
      <c r="D900" s="0" t="n">
        <f aca="false">C900-$C$3-B900</f>
        <v>1320.1223316364</v>
      </c>
      <c r="E900" s="0" t="n">
        <f aca="false">$E$1*B900*86.4</f>
        <v>760282.848</v>
      </c>
      <c r="F900" s="0" t="n">
        <f aca="false">$G$1*G900</f>
        <v>296248.688461058</v>
      </c>
      <c r="G900" s="0" t="n">
        <f aca="false">TANH($E$1*B900*86.4/$G$1)</f>
        <v>0.987495628203527</v>
      </c>
      <c r="H900" s="0" t="n">
        <f aca="false">COSH($E$1*B900*86.4/$G$1)</f>
        <v>6.34331049396266</v>
      </c>
      <c r="I900" s="0" t="n">
        <f aca="false">(($G$1^2*1000)/($E$1*$I$1))*(H900-1)</f>
        <v>5.18150655254503</v>
      </c>
      <c r="J900" s="0" t="n">
        <f aca="false">$J$3*EXP(-$E$1*B900*86.4/$G$1)</f>
        <v>79.3191128369799</v>
      </c>
      <c r="K900" s="0" t="n">
        <f aca="false">J899-J900</f>
        <v>0.224415572252425</v>
      </c>
    </row>
    <row r="901" customFormat="false" ht="12.8" hidden="false" customHeight="false" outlineLevel="0" collapsed="false">
      <c r="A901" s="0" t="n">
        <v>1</v>
      </c>
      <c r="B901" s="0" t="n">
        <f aca="false">B900+A901</f>
        <v>898</v>
      </c>
      <c r="C901" s="0" t="n">
        <f aca="false">$C$3+($G$1/($E$1*86.4))*SINH($E$1*B901*86.4/$G$1)</f>
        <v>46827.47449934</v>
      </c>
      <c r="D901" s="0" t="n">
        <f aca="false">C901-$C$3-B901</f>
        <v>1325.47449933997</v>
      </c>
      <c r="E901" s="0" t="n">
        <f aca="false">$E$1*B901*86.4</f>
        <v>761130.432</v>
      </c>
      <c r="F901" s="0" t="n">
        <f aca="false">$G$1*G901</f>
        <v>296269.694283216</v>
      </c>
      <c r="G901" s="0" t="n">
        <f aca="false">TANH($E$1*B901*86.4/$G$1)</f>
        <v>0.987565647610719</v>
      </c>
      <c r="H901" s="0" t="n">
        <f aca="false">COSH($E$1*B901*86.4/$G$1)</f>
        <v>6.36103336390197</v>
      </c>
      <c r="I901" s="0" t="n">
        <f aca="false">(($G$1^2*1000)/($E$1*$I$1))*(H901-1)</f>
        <v>5.19869274579061</v>
      </c>
      <c r="J901" s="0" t="n">
        <f aca="false">$J$3*EXP(-$E$1*B901*86.4/$G$1)</f>
        <v>79.0953304067325</v>
      </c>
      <c r="K901" s="0" t="n">
        <f aca="false">J900-J901</f>
        <v>0.223782430247383</v>
      </c>
    </row>
    <row r="902" customFormat="false" ht="12.8" hidden="false" customHeight="false" outlineLevel="0" collapsed="false">
      <c r="A902" s="0" t="n">
        <v>1</v>
      </c>
      <c r="B902" s="0" t="n">
        <f aca="false">B901+A902</f>
        <v>899</v>
      </c>
      <c r="C902" s="0" t="n">
        <f aca="false">$C$3+($G$1/($E$1*86.4))*SINH($E$1*B902*86.4/$G$1)</f>
        <v>46833.8444152892</v>
      </c>
      <c r="D902" s="0" t="n">
        <f aca="false">C902-$C$3-B902</f>
        <v>1330.84441528923</v>
      </c>
      <c r="E902" s="0" t="n">
        <f aca="false">$E$1*B902*86.4</f>
        <v>761978.016</v>
      </c>
      <c r="F902" s="0" t="n">
        <f aca="false">$G$1*G902</f>
        <v>296290.583213064</v>
      </c>
      <c r="G902" s="0" t="n">
        <f aca="false">TANH($E$1*B902*86.4/$G$1)</f>
        <v>0.98763527737688</v>
      </c>
      <c r="H902" s="0" t="n">
        <f aca="false">COSH($E$1*B902*86.4/$G$1)</f>
        <v>6.37880700896059</v>
      </c>
      <c r="I902" s="0" t="n">
        <f aca="false">(($G$1^2*1000)/($E$1*$I$1))*(H902-1)</f>
        <v>5.21592817660413</v>
      </c>
      <c r="J902" s="0" t="n">
        <f aca="false">$J$3*EXP(-$E$1*B902*86.4/$G$1)</f>
        <v>78.8721793322114</v>
      </c>
      <c r="K902" s="0" t="n">
        <f aca="false">J901-J902</f>
        <v>0.223151074521113</v>
      </c>
    </row>
    <row r="903" customFormat="false" ht="12.8" hidden="false" customHeight="false" outlineLevel="0" collapsed="false">
      <c r="A903" s="0" t="n">
        <v>1</v>
      </c>
      <c r="B903" s="0" t="n">
        <f aca="false">B902+A903</f>
        <v>900</v>
      </c>
      <c r="C903" s="0" t="n">
        <f aca="false">$C$3+($G$1/($E$1*86.4))*SINH($E$1*B903*86.4/$G$1)</f>
        <v>46840.2321303302</v>
      </c>
      <c r="D903" s="0" t="n">
        <f aca="false">C903-$C$3-B903</f>
        <v>1336.23213033022</v>
      </c>
      <c r="E903" s="0" t="n">
        <f aca="false">$E$1*B903*86.4</f>
        <v>762825.6</v>
      </c>
      <c r="F903" s="0" t="n">
        <f aca="false">$G$1*G903</f>
        <v>296311.355892908</v>
      </c>
      <c r="G903" s="0" t="n">
        <f aca="false">TANH($E$1*B903*86.4/$G$1)</f>
        <v>0.987704519643025</v>
      </c>
      <c r="H903" s="0" t="n">
        <f aca="false">COSH($E$1*B903*86.4/$G$1)</f>
        <v>6.39663157101153</v>
      </c>
      <c r="I903" s="0" t="n">
        <f aca="false">(($G$1^2*1000)/($E$1*$I$1))*(H903-1)</f>
        <v>5.23321298256246</v>
      </c>
      <c r="J903" s="0" t="n">
        <f aca="false">$J$3*EXP(-$E$1*B903*86.4/$G$1)</f>
        <v>78.6496578321772</v>
      </c>
      <c r="K903" s="0" t="n">
        <f aca="false">J902-J903</f>
        <v>0.222521500034176</v>
      </c>
    </row>
    <row r="904" customFormat="false" ht="12.8" hidden="false" customHeight="false" outlineLevel="0" collapsed="false">
      <c r="A904" s="0" t="n">
        <v>1</v>
      </c>
      <c r="B904" s="0" t="n">
        <f aca="false">B903+A904</f>
        <v>901</v>
      </c>
      <c r="C904" s="0" t="n">
        <f aca="false">$C$3+($G$1/($E$1*86.4))*SINH($E$1*B904*86.4/$G$1)</f>
        <v>46846.637695451</v>
      </c>
      <c r="D904" s="0" t="n">
        <f aca="false">C904-$C$3-B904</f>
        <v>1341.63769545101</v>
      </c>
      <c r="E904" s="0" t="n">
        <f aca="false">$E$1*B904*86.4</f>
        <v>763673.184</v>
      </c>
      <c r="F904" s="0" t="n">
        <f aca="false">$G$1*G904</f>
        <v>296332.012961613</v>
      </c>
      <c r="G904" s="0" t="n">
        <f aca="false">TANH($E$1*B904*86.4/$G$1)</f>
        <v>0.987773376538709</v>
      </c>
      <c r="H904" s="0" t="n">
        <f aca="false">COSH($E$1*B904*86.4/$G$1)</f>
        <v>6.41450719233425</v>
      </c>
      <c r="I904" s="0" t="n">
        <f aca="false">(($G$1^2*1000)/($E$1*$I$1))*(H904-1)</f>
        <v>5.25054730163659</v>
      </c>
      <c r="J904" s="0" t="n">
        <f aca="false">$J$3*EXP(-$E$1*B904*86.4/$G$1)</f>
        <v>78.4277641304161</v>
      </c>
      <c r="K904" s="0" t="n">
        <f aca="false">J903-J904</f>
        <v>0.221893701761147</v>
      </c>
    </row>
    <row r="905" customFormat="false" ht="12.8" hidden="false" customHeight="false" outlineLevel="0" collapsed="false">
      <c r="A905" s="0" t="n">
        <v>1</v>
      </c>
      <c r="B905" s="0" t="n">
        <f aca="false">B904+A905</f>
        <v>902</v>
      </c>
      <c r="C905" s="0" t="n">
        <f aca="false">$C$3+($G$1/($E$1*86.4))*SINH($E$1*B905*86.4/$G$1)</f>
        <v>46853.0611617822</v>
      </c>
      <c r="D905" s="0" t="n">
        <f aca="false">C905-$C$3-B905</f>
        <v>1347.0611617822</v>
      </c>
      <c r="E905" s="0" t="n">
        <f aca="false">$E$1*B905*86.4</f>
        <v>764520.768</v>
      </c>
      <c r="F905" s="0" t="n">
        <f aca="false">$G$1*G905</f>
        <v>296352.555054625</v>
      </c>
      <c r="G905" s="0" t="n">
        <f aca="false">TANH($E$1*B905*86.4/$G$1)</f>
        <v>0.987841850182083</v>
      </c>
      <c r="H905" s="0" t="n">
        <f aca="false">COSH($E$1*B905*86.4/$G$1)</f>
        <v>6.43243401561574</v>
      </c>
      <c r="I905" s="0" t="n">
        <f aca="false">(($G$1^2*1000)/($E$1*$I$1))*(H905-1)</f>
        <v>5.26793127219273</v>
      </c>
      <c r="J905" s="0" t="n">
        <f aca="false">$J$3*EXP(-$E$1*B905*86.4/$G$1)</f>
        <v>78.2064964557253</v>
      </c>
      <c r="K905" s="0" t="n">
        <f aca="false">J904-J905</f>
        <v>0.221267674690736</v>
      </c>
    </row>
    <row r="906" customFormat="false" ht="12.8" hidden="false" customHeight="false" outlineLevel="0" collapsed="false">
      <c r="A906" s="0" t="n">
        <v>1</v>
      </c>
      <c r="B906" s="0" t="n">
        <f aca="false">B905+A906</f>
        <v>903</v>
      </c>
      <c r="C906" s="0" t="n">
        <f aca="false">$C$3+($G$1/($E$1*86.4))*SINH($E$1*B906*86.4/$G$1)</f>
        <v>46859.5025805973</v>
      </c>
      <c r="D906" s="0" t="n">
        <f aca="false">C906-$C$3-B906</f>
        <v>1352.50258059725</v>
      </c>
      <c r="E906" s="0" t="n">
        <f aca="false">$E$1*B906*86.4</f>
        <v>765368.352</v>
      </c>
      <c r="F906" s="0" t="n">
        <f aca="false">$G$1*G906</f>
        <v>296372.982803986</v>
      </c>
      <c r="G906" s="0" t="n">
        <f aca="false">TANH($E$1*B906*86.4/$G$1)</f>
        <v>0.987909942679954</v>
      </c>
      <c r="H906" s="0" t="n">
        <f aca="false">COSH($E$1*B906*86.4/$G$1)</f>
        <v>6.45041218395172</v>
      </c>
      <c r="I906" s="0" t="n">
        <f aca="false">(($G$1^2*1000)/($E$1*$I$1))*(H906-1)</f>
        <v>5.28536503299343</v>
      </c>
      <c r="J906" s="0" t="n">
        <f aca="false">$J$3*EXP(-$E$1*B906*86.4/$G$1)</f>
        <v>77.9858530418995</v>
      </c>
      <c r="K906" s="0" t="n">
        <f aca="false">J905-J906</f>
        <v>0.220643413825869</v>
      </c>
    </row>
    <row r="907" customFormat="false" ht="12.8" hidden="false" customHeight="false" outlineLevel="0" collapsed="false">
      <c r="A907" s="0" t="n">
        <v>1</v>
      </c>
      <c r="B907" s="0" t="n">
        <f aca="false">B906+A907</f>
        <v>904</v>
      </c>
      <c r="C907" s="0" t="n">
        <f aca="false">$C$3+($G$1/($E$1*86.4))*SINH($E$1*B907*86.4/$G$1)</f>
        <v>46865.962003313</v>
      </c>
      <c r="D907" s="0" t="n">
        <f aca="false">C907-$C$3-B907</f>
        <v>1357.96200331295</v>
      </c>
      <c r="E907" s="0" t="n">
        <f aca="false">$E$1*B907*86.4</f>
        <v>766215.936</v>
      </c>
      <c r="F907" s="0" t="n">
        <f aca="false">$G$1*G907</f>
        <v>296393.296838353</v>
      </c>
      <c r="G907" s="0" t="n">
        <f aca="false">TANH($E$1*B907*86.4/$G$1)</f>
        <v>0.987977656127844</v>
      </c>
      <c r="H907" s="0" t="n">
        <f aca="false">COSH($E$1*B907*86.4/$G$1)</f>
        <v>6.46844184084773</v>
      </c>
      <c r="I907" s="0" t="n">
        <f aca="false">(($G$1^2*1000)/($E$1*$I$1))*(H907-1)</f>
        <v>5.30284872319866</v>
      </c>
      <c r="J907" s="0" t="n">
        <f aca="false">$J$3*EXP(-$E$1*B907*86.4/$G$1)</f>
        <v>77.7658321277158</v>
      </c>
      <c r="K907" s="0" t="n">
        <f aca="false">J906-J907</f>
        <v>0.220020914183635</v>
      </c>
    </row>
    <row r="908" customFormat="false" ht="12.8" hidden="false" customHeight="false" outlineLevel="0" collapsed="false">
      <c r="A908" s="0" t="n">
        <v>1</v>
      </c>
      <c r="B908" s="0" t="n">
        <f aca="false">B907+A908</f>
        <v>905</v>
      </c>
      <c r="C908" s="0" t="n">
        <f aca="false">$C$3+($G$1/($E$1*86.4))*SINH($E$1*B908*86.4/$G$1)</f>
        <v>46872.4394814898</v>
      </c>
      <c r="D908" s="0" t="n">
        <f aca="false">C908-$C$3-B908</f>
        <v>1363.43948148978</v>
      </c>
      <c r="E908" s="0" t="n">
        <f aca="false">$E$1*B908*86.4</f>
        <v>767063.52</v>
      </c>
      <c r="F908" s="0" t="n">
        <f aca="false">$G$1*G908</f>
        <v>296413.497783012</v>
      </c>
      <c r="G908" s="0" t="n">
        <f aca="false">TANH($E$1*B908*86.4/$G$1)</f>
        <v>0.988044992610042</v>
      </c>
      <c r="H908" s="0" t="n">
        <f aca="false">COSH($E$1*B908*86.4/$G$1)</f>
        <v>6.48652313022035</v>
      </c>
      <c r="I908" s="0" t="n">
        <f aca="false">(($G$1^2*1000)/($E$1*$I$1))*(H908-1)</f>
        <v>5.32038248236698</v>
      </c>
      <c r="J908" s="0" t="n">
        <f aca="false">$J$3*EXP(-$E$1*B908*86.4/$G$1)</f>
        <v>77.5464319569207</v>
      </c>
      <c r="K908" s="0" t="n">
        <f aca="false">J907-J908</f>
        <v>0.219400170795112</v>
      </c>
    </row>
    <row r="909" customFormat="false" ht="12.8" hidden="false" customHeight="false" outlineLevel="0" collapsed="false">
      <c r="A909" s="0" t="n">
        <v>1</v>
      </c>
      <c r="B909" s="0" t="n">
        <f aca="false">B908+A909</f>
        <v>906</v>
      </c>
      <c r="C909" s="0" t="n">
        <f aca="false">$C$3+($G$1/($E$1*86.4))*SINH($E$1*B909*86.4/$G$1)</f>
        <v>46878.9350668323</v>
      </c>
      <c r="D909" s="0" t="n">
        <f aca="false">C909-$C$3-B909</f>
        <v>1368.93506683232</v>
      </c>
      <c r="E909" s="0" t="n">
        <f aca="false">$E$1*B909*86.4</f>
        <v>767911.104</v>
      </c>
      <c r="F909" s="0" t="n">
        <f aca="false">$G$1*G909</f>
        <v>296433.5862599</v>
      </c>
      <c r="G909" s="0" t="n">
        <f aca="false">TANH($E$1*B909*86.4/$G$1)</f>
        <v>0.988111954199665</v>
      </c>
      <c r="H909" s="0" t="n">
        <f aca="false">COSH($E$1*B909*86.4/$G$1)</f>
        <v>6.50465619639824</v>
      </c>
      <c r="I909" s="0" t="n">
        <f aca="false">(($G$1^2*1000)/($E$1*$I$1))*(H909-1)</f>
        <v>5.33796645045655</v>
      </c>
      <c r="J909" s="0" t="n">
        <f aca="false">$J$3*EXP(-$E$1*B909*86.4/$G$1)</f>
        <v>77.3276507782155</v>
      </c>
      <c r="K909" s="0" t="n">
        <f aca="false">J908-J909</f>
        <v>0.218781178705243</v>
      </c>
    </row>
    <row r="910" customFormat="false" ht="12.8" hidden="false" customHeight="false" outlineLevel="0" collapsed="false">
      <c r="A910" s="0" t="n">
        <v>1</v>
      </c>
      <c r="B910" s="0" t="n">
        <f aca="false">B909+A910</f>
        <v>907</v>
      </c>
      <c r="C910" s="0" t="n">
        <f aca="false">$C$3+($G$1/($E$1*86.4))*SINH($E$1*B910*86.4/$G$1)</f>
        <v>46885.4488111897</v>
      </c>
      <c r="D910" s="0" t="n">
        <f aca="false">C910-$C$3-B910</f>
        <v>1374.44881118974</v>
      </c>
      <c r="E910" s="0" t="n">
        <f aca="false">$E$1*B910*86.4</f>
        <v>768758.688</v>
      </c>
      <c r="F910" s="0" t="n">
        <f aca="false">$G$1*G910</f>
        <v>296453.562887614</v>
      </c>
      <c r="G910" s="0" t="n">
        <f aca="false">TANH($E$1*B910*86.4/$G$1)</f>
        <v>0.988178542958715</v>
      </c>
      <c r="H910" s="0" t="n">
        <f aca="false">COSH($E$1*B910*86.4/$G$1)</f>
        <v>6.52284118412341</v>
      </c>
      <c r="I910" s="0" t="n">
        <f aca="false">(($G$1^2*1000)/($E$1*$I$1))*(H910-1)</f>
        <v>5.35560076782635</v>
      </c>
      <c r="J910" s="0" t="n">
        <f aca="false">$J$3*EXP(-$E$1*B910*86.4/$G$1)</f>
        <v>77.1094868452422</v>
      </c>
      <c r="K910" s="0" t="n">
        <f aca="false">J909-J910</f>
        <v>0.218163932973283</v>
      </c>
    </row>
    <row r="911" customFormat="false" ht="12.8" hidden="false" customHeight="false" outlineLevel="0" collapsed="false">
      <c r="A911" s="0" t="n">
        <v>1</v>
      </c>
      <c r="B911" s="0" t="n">
        <f aca="false">B910+A911</f>
        <v>908</v>
      </c>
      <c r="C911" s="0" t="n">
        <f aca="false">$C$3+($G$1/($E$1*86.4))*SINH($E$1*B911*86.4/$G$1)</f>
        <v>46891.9807665561</v>
      </c>
      <c r="D911" s="0" t="n">
        <f aca="false">C911-$C$3-B911</f>
        <v>1379.98076655613</v>
      </c>
      <c r="E911" s="0" t="n">
        <f aca="false">$E$1*B911*86.4</f>
        <v>769606.272</v>
      </c>
      <c r="F911" s="0" t="n">
        <f aca="false">$G$1*G911</f>
        <v>296473.428281439</v>
      </c>
      <c r="G911" s="0" t="n">
        <f aca="false">TANH($E$1*B911*86.4/$G$1)</f>
        <v>0.988244760938131</v>
      </c>
      <c r="H911" s="0" t="n">
        <f aca="false">COSH($E$1*B911*86.4/$G$1)</f>
        <v>6.54107823855228</v>
      </c>
      <c r="I911" s="0" t="n">
        <f aca="false">(($G$1^2*1000)/($E$1*$I$1))*(H911-1)</f>
        <v>5.37328557523724</v>
      </c>
      <c r="J911" s="0" t="n">
        <f aca="false">$J$3*EXP(-$E$1*B911*86.4/$G$1)</f>
        <v>76.8919384165701</v>
      </c>
      <c r="K911" s="0" t="n">
        <f aca="false">J910-J911</f>
        <v>0.217548428672131</v>
      </c>
    </row>
    <row r="912" customFormat="false" ht="12.8" hidden="false" customHeight="false" outlineLevel="0" collapsed="false">
      <c r="A912" s="0" t="n">
        <v>1</v>
      </c>
      <c r="B912" s="0" t="n">
        <f aca="false">B911+A912</f>
        <v>909</v>
      </c>
      <c r="C912" s="0" t="n">
        <f aca="false">$C$3+($G$1/($E$1*86.4))*SINH($E$1*B912*86.4/$G$1)</f>
        <v>46898.5309850709</v>
      </c>
      <c r="D912" s="0" t="n">
        <f aca="false">C912-$C$3-B912</f>
        <v>1385.53098507094</v>
      </c>
      <c r="E912" s="0" t="n">
        <f aca="false">$E$1*B912*86.4</f>
        <v>770453.856</v>
      </c>
      <c r="F912" s="0" t="n">
        <f aca="false">$G$1*G912</f>
        <v>296493.183053356</v>
      </c>
      <c r="G912" s="0" t="n">
        <f aca="false">TANH($E$1*B912*86.4/$G$1)</f>
        <v>0.988310610177852</v>
      </c>
      <c r="H912" s="0" t="n">
        <f aca="false">COSH($E$1*B912*86.4/$G$1)</f>
        <v>6.55936750525691</v>
      </c>
      <c r="I912" s="0" t="n">
        <f aca="false">(($G$1^2*1000)/($E$1*$I$1))*(H912-1)</f>
        <v>5.39102101385311</v>
      </c>
      <c r="J912" s="0" t="n">
        <f aca="false">$J$3*EXP(-$E$1*B912*86.4/$G$1)</f>
        <v>76.6750037556812</v>
      </c>
      <c r="K912" s="0" t="n">
        <f aca="false">J911-J912</f>
        <v>0.216934660888825</v>
      </c>
    </row>
    <row r="913" customFormat="false" ht="12.8" hidden="false" customHeight="false" outlineLevel="0" collapsed="false">
      <c r="A913" s="0" t="n">
        <v>1</v>
      </c>
      <c r="B913" s="0" t="n">
        <f aca="false">B912+A913</f>
        <v>910</v>
      </c>
      <c r="C913" s="0" t="n">
        <f aca="false">$C$3+($G$1/($E$1*86.4))*SINH($E$1*B913*86.4/$G$1)</f>
        <v>46905.0995190194</v>
      </c>
      <c r="D913" s="0" t="n">
        <f aca="false">C913-$C$3-B913</f>
        <v>1391.0995190194</v>
      </c>
      <c r="E913" s="0" t="n">
        <f aca="false">$E$1*B913*86.4</f>
        <v>771301.44</v>
      </c>
      <c r="F913" s="0" t="n">
        <f aca="false">$G$1*G913</f>
        <v>296512.827812059</v>
      </c>
      <c r="G913" s="0" t="n">
        <f aca="false">TANH($E$1*B913*86.4/$G$1)</f>
        <v>0.988376092706865</v>
      </c>
      <c r="H913" s="0" t="n">
        <f aca="false">COSH($E$1*B913*86.4/$G$1)</f>
        <v>6.57770913022608</v>
      </c>
      <c r="I913" s="0" t="n">
        <f aca="false">(($G$1^2*1000)/($E$1*$I$1))*(H913-1)</f>
        <v>5.40880722524201</v>
      </c>
      <c r="J913" s="0" t="n">
        <f aca="false">$J$3*EXP(-$E$1*B913*86.4/$G$1)</f>
        <v>76.4586811309573</v>
      </c>
      <c r="K913" s="0" t="n">
        <f aca="false">J912-J913</f>
        <v>0.216322624723915</v>
      </c>
    </row>
    <row r="914" customFormat="false" ht="12.8" hidden="false" customHeight="false" outlineLevel="0" collapsed="false">
      <c r="A914" s="0" t="n">
        <v>1</v>
      </c>
      <c r="B914" s="0" t="n">
        <f aca="false">B913+A914</f>
        <v>911</v>
      </c>
      <c r="C914" s="0" t="n">
        <f aca="false">$C$3+($G$1/($E$1*86.4))*SINH($E$1*B914*86.4/$G$1)</f>
        <v>46911.6864208329</v>
      </c>
      <c r="D914" s="0" t="n">
        <f aca="false">C914-$C$3-B914</f>
        <v>1396.68642083294</v>
      </c>
      <c r="E914" s="0" t="n">
        <f aca="false">$E$1*B914*86.4</f>
        <v>772149.024</v>
      </c>
      <c r="F914" s="0" t="n">
        <f aca="false">$G$1*G914</f>
        <v>296532.36316298</v>
      </c>
      <c r="G914" s="0" t="n">
        <f aca="false">TANH($E$1*B914*86.4/$G$1)</f>
        <v>0.988441210543267</v>
      </c>
      <c r="H914" s="0" t="n">
        <f aca="false">COSH($E$1*B914*86.4/$G$1)</f>
        <v>6.59610325986657</v>
      </c>
      <c r="I914" s="0" t="n">
        <f aca="false">(($G$1^2*1000)/($E$1*$I$1))*(H914-1)</f>
        <v>5.42664435137724</v>
      </c>
      <c r="J914" s="0" t="n">
        <f aca="false">$J$3*EXP(-$E$1*B914*86.4/$G$1)</f>
        <v>76.242968815665</v>
      </c>
      <c r="K914" s="0" t="n">
        <f aca="false">J913-J914</f>
        <v>0.215712315292279</v>
      </c>
    </row>
    <row r="915" customFormat="false" ht="12.8" hidden="false" customHeight="false" outlineLevel="0" collapsed="false">
      <c r="A915" s="0" t="n">
        <v>1</v>
      </c>
      <c r="B915" s="0" t="n">
        <f aca="false">B914+A915</f>
        <v>912</v>
      </c>
      <c r="C915" s="0" t="n">
        <f aca="false">$C$3+($G$1/($E$1*86.4))*SINH($E$1*B915*86.4/$G$1)</f>
        <v>46918.2917430896</v>
      </c>
      <c r="D915" s="0" t="n">
        <f aca="false">C915-$C$3-B915</f>
        <v>1402.29174308963</v>
      </c>
      <c r="E915" s="0" t="n">
        <f aca="false">$E$1*B915*86.4</f>
        <v>772996.608</v>
      </c>
      <c r="F915" s="0" t="n">
        <f aca="false">$G$1*G915</f>
        <v>296551.789708296</v>
      </c>
      <c r="G915" s="0" t="n">
        <f aca="false">TANH($E$1*B915*86.4/$G$1)</f>
        <v>0.98850596569432</v>
      </c>
      <c r="H915" s="0" t="n">
        <f aca="false">COSH($E$1*B915*86.4/$G$1)</f>
        <v>6.6145500410042</v>
      </c>
      <c r="I915" s="0" t="n">
        <f aca="false">(($G$1^2*1000)/($E$1*$I$1))*(H915-1)</f>
        <v>5.44453253463854</v>
      </c>
      <c r="J915" s="0" t="n">
        <f aca="false">$J$3*EXP(-$E$1*B915*86.4/$G$1)</f>
        <v>76.027865087943</v>
      </c>
      <c r="K915" s="0" t="n">
        <f aca="false">J914-J915</f>
        <v>0.215103727722081</v>
      </c>
    </row>
    <row r="916" customFormat="false" ht="12.8" hidden="false" customHeight="false" outlineLevel="0" collapsed="false">
      <c r="A916" s="0" t="n">
        <v>1</v>
      </c>
      <c r="B916" s="0" t="n">
        <f aca="false">B915+A916</f>
        <v>913</v>
      </c>
      <c r="C916" s="0" t="n">
        <f aca="false">$C$3+($G$1/($E$1*86.4))*SINH($E$1*B916*86.4/$G$1)</f>
        <v>46924.9155385145</v>
      </c>
      <c r="D916" s="0" t="n">
        <f aca="false">C916-$C$3-B916</f>
        <v>1407.91553851453</v>
      </c>
      <c r="E916" s="0" t="n">
        <f aca="false">$E$1*B916*86.4</f>
        <v>773844.192</v>
      </c>
      <c r="F916" s="0" t="n">
        <f aca="false">$G$1*G916</f>
        <v>296571.10804695</v>
      </c>
      <c r="G916" s="0" t="n">
        <f aca="false">TANH($E$1*B916*86.4/$G$1)</f>
        <v>0.988570360156499</v>
      </c>
      <c r="H916" s="0" t="n">
        <f aca="false">COSH($E$1*B916*86.4/$G$1)</f>
        <v>6.63304962088512</v>
      </c>
      <c r="I916" s="0" t="n">
        <f aca="false">(($G$1^2*1000)/($E$1*$I$1))*(H916-1)</f>
        <v>5.46247191781318</v>
      </c>
      <c r="J916" s="0" t="n">
        <f aca="false">$J$3*EXP(-$E$1*B916*86.4/$G$1)</f>
        <v>75.8133682307875</v>
      </c>
      <c r="K916" s="0" t="n">
        <f aca="false">J915-J916</f>
        <v>0.21449685715551</v>
      </c>
    </row>
    <row r="917" customFormat="false" ht="12.8" hidden="false" customHeight="false" outlineLevel="0" collapsed="false">
      <c r="A917" s="0" t="n">
        <v>1</v>
      </c>
      <c r="B917" s="0" t="n">
        <f aca="false">B916+A917</f>
        <v>914</v>
      </c>
      <c r="C917" s="0" t="n">
        <f aca="false">$C$3+($G$1/($E$1*86.4))*SINH($E$1*B917*86.4/$G$1)</f>
        <v>46931.5578599802</v>
      </c>
      <c r="D917" s="0" t="n">
        <f aca="false">C917-$C$3-B917</f>
        <v>1413.5578599802</v>
      </c>
      <c r="E917" s="0" t="n">
        <f aca="false">$E$1*B917*86.4</f>
        <v>774691.776</v>
      </c>
      <c r="F917" s="0" t="n">
        <f aca="false">$G$1*G917</f>
        <v>296590.318774667</v>
      </c>
      <c r="G917" s="0" t="n">
        <f aca="false">TANH($E$1*B917*86.4/$G$1)</f>
        <v>0.988634395915558</v>
      </c>
      <c r="H917" s="0" t="n">
        <f aca="false">COSH($E$1*B917*86.4/$G$1)</f>
        <v>6.65160214717688</v>
      </c>
      <c r="I917" s="0" t="n">
        <f aca="false">(($G$1^2*1000)/($E$1*$I$1))*(H917-1)</f>
        <v>5.48046264409713</v>
      </c>
      <c r="J917" s="0" t="n">
        <f aca="false">$J$3*EXP(-$E$1*B917*86.4/$G$1)</f>
        <v>75.599476532039</v>
      </c>
      <c r="K917" s="0" t="n">
        <f aca="false">J916-J917</f>
        <v>0.213891698748427</v>
      </c>
    </row>
    <row r="918" customFormat="false" ht="12.8" hidden="false" customHeight="false" outlineLevel="0" collapsed="false">
      <c r="A918" s="0" t="n">
        <v>1</v>
      </c>
      <c r="B918" s="0" t="n">
        <f aca="false">B917+A918</f>
        <v>915</v>
      </c>
      <c r="C918" s="0" t="n">
        <f aca="false">$C$3+($G$1/($E$1*86.4))*SINH($E$1*B918*86.4/$G$1)</f>
        <v>46938.218760507</v>
      </c>
      <c r="D918" s="0" t="n">
        <f aca="false">C918-$C$3-B918</f>
        <v>1419.21876050704</v>
      </c>
      <c r="E918" s="0" t="n">
        <f aca="false">$E$1*B918*86.4</f>
        <v>775539.36</v>
      </c>
      <c r="F918" s="0" t="n">
        <f aca="false">$G$1*G918</f>
        <v>296609.422483972</v>
      </c>
      <c r="G918" s="0" t="n">
        <f aca="false">TANH($E$1*B918*86.4/$G$1)</f>
        <v>0.988698074946575</v>
      </c>
      <c r="H918" s="0" t="n">
        <f aca="false">COSH($E$1*B918*86.4/$G$1)</f>
        <v>6.67020776796971</v>
      </c>
      <c r="I918" s="0" t="n">
        <f aca="false">(($G$1^2*1000)/($E$1*$I$1))*(H918-1)</f>
        <v>5.4985048570962</v>
      </c>
      <c r="J918" s="0" t="n">
        <f aca="false">$J$3*EXP(-$E$1*B918*86.4/$G$1)</f>
        <v>75.3861882843687</v>
      </c>
      <c r="K918" s="0" t="n">
        <f aca="false">J917-J918</f>
        <v>0.213288247670334</v>
      </c>
    </row>
    <row r="919" customFormat="false" ht="12.8" hidden="false" customHeight="false" outlineLevel="0" collapsed="false">
      <c r="A919" s="0" t="n">
        <v>1</v>
      </c>
      <c r="B919" s="0" t="n">
        <f aca="false">B918+A919</f>
        <v>916</v>
      </c>
      <c r="C919" s="0" t="n">
        <f aca="false">$C$3+($G$1/($E$1*86.4))*SINH($E$1*B919*86.4/$G$1)</f>
        <v>46944.8982932638</v>
      </c>
      <c r="D919" s="0" t="n">
        <f aca="false">C919-$C$3-B919</f>
        <v>1424.8982932638</v>
      </c>
      <c r="E919" s="0" t="n">
        <f aca="false">$E$1*B919*86.4</f>
        <v>776386.944</v>
      </c>
      <c r="F919" s="0" t="n">
        <f aca="false">$G$1*G919</f>
        <v>296628.419764204</v>
      </c>
      <c r="G919" s="0" t="n">
        <f aca="false">TANH($E$1*B919*86.4/$G$1)</f>
        <v>0.988761399214012</v>
      </c>
      <c r="H919" s="0" t="n">
        <f aca="false">COSH($E$1*B919*86.4/$G$1)</f>
        <v>6.68886663177762</v>
      </c>
      <c r="I919" s="0" t="n">
        <f aca="false">(($G$1^2*1000)/($E$1*$I$1))*(H919-1)</f>
        <v>5.51659870082715</v>
      </c>
      <c r="J919" s="0" t="n">
        <f aca="false">$J$3*EXP(-$E$1*B919*86.4/$G$1)</f>
        <v>75.1735017852643</v>
      </c>
      <c r="K919" s="0" t="n">
        <f aca="false">J918-J919</f>
        <v>0.212686499104379</v>
      </c>
    </row>
    <row r="920" customFormat="false" ht="12.8" hidden="false" customHeight="false" outlineLevel="0" collapsed="false">
      <c r="A920" s="0" t="n">
        <v>1</v>
      </c>
      <c r="B920" s="0" t="n">
        <f aca="false">B919+A920</f>
        <v>917</v>
      </c>
      <c r="C920" s="0" t="n">
        <f aca="false">$C$3+($G$1/($E$1*86.4))*SINH($E$1*B920*86.4/$G$1)</f>
        <v>46951.5965115679</v>
      </c>
      <c r="D920" s="0" t="n">
        <f aca="false">C920-$C$3-B920</f>
        <v>1430.59651156791</v>
      </c>
      <c r="E920" s="0" t="n">
        <f aca="false">$E$1*B920*86.4</f>
        <v>777234.528</v>
      </c>
      <c r="F920" s="0" t="n">
        <f aca="false">$G$1*G920</f>
        <v>296647.31120153</v>
      </c>
      <c r="G920" s="0" t="n">
        <f aca="false">TANH($E$1*B920*86.4/$G$1)</f>
        <v>0.988824370671768</v>
      </c>
      <c r="H920" s="0" t="n">
        <f aca="false">COSH($E$1*B920*86.4/$G$1)</f>
        <v>6.70757888753961</v>
      </c>
      <c r="I920" s="0" t="n">
        <f aca="false">(($G$1^2*1000)/($E$1*$I$1))*(H920-1)</f>
        <v>5.53474431971889</v>
      </c>
      <c r="J920" s="0" t="n">
        <f aca="false">$J$3*EXP(-$E$1*B920*86.4/$G$1)</f>
        <v>74.9614153370172</v>
      </c>
      <c r="K920" s="0" t="n">
        <f aca="false">J919-J920</f>
        <v>0.212086448247135</v>
      </c>
    </row>
    <row r="921" customFormat="false" ht="12.8" hidden="false" customHeight="false" outlineLevel="0" collapsed="false">
      <c r="A921" s="0" t="n">
        <v>1</v>
      </c>
      <c r="B921" s="0" t="n">
        <f aca="false">B920+A921</f>
        <v>918</v>
      </c>
      <c r="C921" s="0" t="n">
        <f aca="false">$C$3+($G$1/($E$1*86.4))*SINH($E$1*B921*86.4/$G$1)</f>
        <v>46958.313468886</v>
      </c>
      <c r="D921" s="0" t="n">
        <f aca="false">C921-$C$3-B921</f>
        <v>1436.31346888598</v>
      </c>
      <c r="E921" s="0" t="n">
        <f aca="false">$E$1*B921*86.4</f>
        <v>778082.112</v>
      </c>
      <c r="F921" s="0" t="n">
        <f aca="false">$G$1*G921</f>
        <v>296666.09737897</v>
      </c>
      <c r="G921" s="0" t="n">
        <f aca="false">TANH($E$1*B921*86.4/$G$1)</f>
        <v>0.988886991263232</v>
      </c>
      <c r="H921" s="0" t="n">
        <f aca="false">COSH($E$1*B921*86.4/$G$1)</f>
        <v>6.7263446846209</v>
      </c>
      <c r="I921" s="0" t="n">
        <f aca="false">(($G$1^2*1000)/($E$1*$I$1))*(H921-1)</f>
        <v>5.5529418586136</v>
      </c>
      <c r="J921" s="0" t="n">
        <f aca="false">$J$3*EXP(-$E$1*B921*86.4/$G$1)</f>
        <v>74.7499272467082</v>
      </c>
      <c r="K921" s="0" t="n">
        <f aca="false">J920-J921</f>
        <v>0.211488090309018</v>
      </c>
    </row>
    <row r="922" customFormat="false" ht="12.8" hidden="false" customHeight="false" outlineLevel="0" collapsed="false">
      <c r="A922" s="0" t="n">
        <v>1</v>
      </c>
      <c r="B922" s="0" t="n">
        <f aca="false">B921+A922</f>
        <v>919</v>
      </c>
      <c r="C922" s="0" t="n">
        <f aca="false">$C$3+($G$1/($E$1*86.4))*SINH($E$1*B922*86.4/$G$1)</f>
        <v>46965.0492188342</v>
      </c>
      <c r="D922" s="0" t="n">
        <f aca="false">C922-$C$3-B922</f>
        <v>1442.04921883419</v>
      </c>
      <c r="E922" s="0" t="n">
        <f aca="false">$E$1*B922*86.4</f>
        <v>778929.696</v>
      </c>
      <c r="F922" s="0" t="n">
        <f aca="false">$G$1*G922</f>
        <v>296684.778876401</v>
      </c>
      <c r="G922" s="0" t="n">
        <f aca="false">TANH($E$1*B922*86.4/$G$1)</f>
        <v>0.988949262921336</v>
      </c>
      <c r="H922" s="0" t="n">
        <f aca="false">COSH($E$1*B922*86.4/$G$1)</f>
        <v>6.74516417281405</v>
      </c>
      <c r="I922" s="0" t="n">
        <f aca="false">(($G$1^2*1000)/($E$1*$I$1))*(H922-1)</f>
        <v>5.5711914627679</v>
      </c>
      <c r="J922" s="0" t="n">
        <f aca="false">$J$3*EXP(-$E$1*B922*86.4/$G$1)</f>
        <v>74.5390358261944</v>
      </c>
      <c r="K922" s="0" t="n">
        <f aca="false">J921-J922</f>
        <v>0.210891420513761</v>
      </c>
    </row>
    <row r="923" customFormat="false" ht="12.8" hidden="false" customHeight="false" outlineLevel="0" collapsed="false">
      <c r="A923" s="0" t="n">
        <v>1</v>
      </c>
      <c r="B923" s="0" t="n">
        <f aca="false">B922+A923</f>
        <v>920</v>
      </c>
      <c r="C923" s="0" t="n">
        <f aca="false">$C$3+($G$1/($E$1*86.4))*SINH($E$1*B923*86.4/$G$1)</f>
        <v>46971.8038151787</v>
      </c>
      <c r="D923" s="0" t="n">
        <f aca="false">C923-$C$3-B923</f>
        <v>1447.80381517872</v>
      </c>
      <c r="E923" s="0" t="n">
        <f aca="false">$E$1*B923*86.4</f>
        <v>779777.28</v>
      </c>
      <c r="F923" s="0" t="n">
        <f aca="false">$G$1*G923</f>
        <v>296703.356270583</v>
      </c>
      <c r="G923" s="0" t="n">
        <f aca="false">TANH($E$1*B923*86.4/$G$1)</f>
        <v>0.989011187568611</v>
      </c>
      <c r="H923" s="0" t="n">
        <f aca="false">COSH($E$1*B923*86.4/$G$1)</f>
        <v>6.76403750234022</v>
      </c>
      <c r="I923" s="0" t="n">
        <f aca="false">(($G$1^2*1000)/($E$1*$I$1))*(H923-1)</f>
        <v>5.58949327785402</v>
      </c>
      <c r="J923" s="0" t="n">
        <f aca="false">$J$3*EXP(-$E$1*B923*86.4/$G$1)</f>
        <v>74.3287393920958</v>
      </c>
      <c r="K923" s="0" t="n">
        <f aca="false">J922-J923</f>
        <v>0.210296434098595</v>
      </c>
    </row>
    <row r="924" customFormat="false" ht="12.8" hidden="false" customHeight="false" outlineLevel="0" collapsed="false">
      <c r="A924" s="0" t="n">
        <v>1</v>
      </c>
      <c r="B924" s="0" t="n">
        <f aca="false">B923+A924</f>
        <v>921</v>
      </c>
      <c r="C924" s="0" t="n">
        <f aca="false">$C$3+($G$1/($E$1*86.4))*SINH($E$1*B924*86.4/$G$1)</f>
        <v>46978.5773118362</v>
      </c>
      <c r="D924" s="0" t="n">
        <f aca="false">C924-$C$3-B924</f>
        <v>1453.57731183619</v>
      </c>
      <c r="E924" s="0" t="n">
        <f aca="false">$E$1*B924*86.4</f>
        <v>780624.864</v>
      </c>
      <c r="F924" s="0" t="n">
        <f aca="false">$G$1*G924</f>
        <v>296721.830135172</v>
      </c>
      <c r="G924" s="0" t="n">
        <f aca="false">TANH($E$1*B924*86.4/$G$1)</f>
        <v>0.98907276711724</v>
      </c>
      <c r="H924" s="0" t="n">
        <f aca="false">COSH($E$1*B924*86.4/$G$1)</f>
        <v>6.78296482385034</v>
      </c>
      <c r="I924" s="0" t="n">
        <f aca="false">(($G$1^2*1000)/($E$1*$I$1))*(H924-1)</f>
        <v>5.60784744996092</v>
      </c>
      <c r="J924" s="0" t="n">
        <f aca="false">$J$3*EXP(-$E$1*B924*86.4/$G$1)</f>
        <v>74.1190362657816</v>
      </c>
      <c r="K924" s="0" t="n">
        <f aca="false">J923-J924</f>
        <v>0.209703126314182</v>
      </c>
    </row>
    <row r="925" customFormat="false" ht="12.8" hidden="false" customHeight="false" outlineLevel="0" collapsed="false">
      <c r="A925" s="0" t="n">
        <v>1</v>
      </c>
      <c r="B925" s="0" t="n">
        <f aca="false">B924+A925</f>
        <v>922</v>
      </c>
      <c r="C925" s="0" t="n">
        <f aca="false">$C$3+($G$1/($E$1*86.4))*SINH($E$1*B925*86.4/$G$1)</f>
        <v>46985.3697628741</v>
      </c>
      <c r="D925" s="0" t="n">
        <f aca="false">C925-$C$3-B925</f>
        <v>1459.3697628741</v>
      </c>
      <c r="E925" s="0" t="n">
        <f aca="false">$E$1*B925*86.4</f>
        <v>781472.448</v>
      </c>
      <c r="F925" s="0" t="n">
        <f aca="false">$G$1*G925</f>
        <v>296740.201040732</v>
      </c>
      <c r="G925" s="0" t="n">
        <f aca="false">TANH($E$1*B925*86.4/$G$1)</f>
        <v>0.989134003469108</v>
      </c>
      <c r="H925" s="0" t="n">
        <f aca="false">COSH($E$1*B925*86.4/$G$1)</f>
        <v>6.8019462884263</v>
      </c>
      <c r="I925" s="0" t="n">
        <f aca="false">(($G$1^2*1000)/($E$1*$I$1))*(H925-1)</f>
        <v>5.6262541255955</v>
      </c>
      <c r="J925" s="0" t="n">
        <f aca="false">$J$3*EXP(-$E$1*B925*86.4/$G$1)</f>
        <v>73.9099247733569</v>
      </c>
      <c r="K925" s="0" t="n">
        <f aca="false">J924-J925</f>
        <v>0.209111492424725</v>
      </c>
    </row>
    <row r="926" customFormat="false" ht="12.8" hidden="false" customHeight="false" outlineLevel="0" collapsed="false">
      <c r="A926" s="0" t="n">
        <v>1</v>
      </c>
      <c r="B926" s="0" t="n">
        <f aca="false">B925+A926</f>
        <v>923</v>
      </c>
      <c r="C926" s="0" t="n">
        <f aca="false">$C$3+($G$1/($E$1*86.4))*SINH($E$1*B926*86.4/$G$1)</f>
        <v>46992.1812225112</v>
      </c>
      <c r="D926" s="0" t="n">
        <f aca="false">C926-$C$3-B926</f>
        <v>1465.18122251123</v>
      </c>
      <c r="E926" s="0" t="n">
        <f aca="false">$E$1*B926*86.4</f>
        <v>782320.032</v>
      </c>
      <c r="F926" s="0" t="n">
        <f aca="false">$G$1*G926</f>
        <v>296758.469554757</v>
      </c>
      <c r="G926" s="0" t="n">
        <f aca="false">TANH($E$1*B926*86.4/$G$1)</f>
        <v>0.989194898515856</v>
      </c>
      <c r="H926" s="0" t="n">
        <f aca="false">COSH($E$1*B926*86.4/$G$1)</f>
        <v>6.82098204758219</v>
      </c>
      <c r="I926" s="0" t="n">
        <f aca="false">(($G$1^2*1000)/($E$1*$I$1))*(H926-1)</f>
        <v>5.64471345168377</v>
      </c>
      <c r="J926" s="0" t="n">
        <f aca="false">$J$3*EXP(-$E$1*B926*86.4/$G$1)</f>
        <v>73.7014032456492</v>
      </c>
      <c r="K926" s="0" t="n">
        <f aca="false">J925-J926</f>
        <v>0.208521527707674</v>
      </c>
    </row>
    <row r="927" customFormat="false" ht="12.8" hidden="false" customHeight="false" outlineLevel="0" collapsed="false">
      <c r="A927" s="0" t="n">
        <v>1</v>
      </c>
      <c r="B927" s="0" t="n">
        <f aca="false">B926+A927</f>
        <v>924</v>
      </c>
      <c r="C927" s="0" t="n">
        <f aca="false">$C$3+($G$1/($E$1*86.4))*SINH($E$1*B927*86.4/$G$1)</f>
        <v>46999.0117451181</v>
      </c>
      <c r="D927" s="0" t="n">
        <f aca="false">C927-$C$3-B927</f>
        <v>1471.0117451181</v>
      </c>
      <c r="E927" s="0" t="n">
        <f aca="false">$E$1*B927*86.4</f>
        <v>783167.616</v>
      </c>
      <c r="F927" s="0" t="n">
        <f aca="false">$G$1*G927</f>
        <v>296776.636241681</v>
      </c>
      <c r="G927" s="0" t="n">
        <f aca="false">TANH($E$1*B927*86.4/$G$1)</f>
        <v>0.989255454138937</v>
      </c>
      <c r="H927" s="0" t="n">
        <f aca="false">COSH($E$1*B927*86.4/$G$1)</f>
        <v>6.84007225326547</v>
      </c>
      <c r="I927" s="0" t="n">
        <f aca="false">(($G$1^2*1000)/($E$1*$I$1))*(H927-1)</f>
        <v>5.66322557557197</v>
      </c>
      <c r="J927" s="0" t="n">
        <f aca="false">$J$3*EXP(-$E$1*B927*86.4/$G$1)</f>
        <v>73.4934700181956</v>
      </c>
      <c r="K927" s="0" t="n">
        <f aca="false">J926-J927</f>
        <v>0.20793322745358</v>
      </c>
    </row>
    <row r="928" customFormat="false" ht="12.8" hidden="false" customHeight="false" outlineLevel="0" collapsed="false">
      <c r="A928" s="0" t="n">
        <v>1</v>
      </c>
      <c r="B928" s="0" t="n">
        <f aca="false">B927+A928</f>
        <v>925</v>
      </c>
      <c r="C928" s="0" t="n">
        <f aca="false">$C$3+($G$1/($E$1*86.4))*SINH($E$1*B928*86.4/$G$1)</f>
        <v>47005.8613852174</v>
      </c>
      <c r="D928" s="0" t="n">
        <f aca="false">C928-$C$3-B928</f>
        <v>1476.86138521739</v>
      </c>
      <c r="E928" s="0" t="n">
        <f aca="false">$E$1*B928*86.4</f>
        <v>784015.2</v>
      </c>
      <c r="F928" s="0" t="n">
        <f aca="false">$G$1*G928</f>
        <v>296794.701662899</v>
      </c>
      <c r="G928" s="0" t="n">
        <f aca="false">TANH($E$1*B928*86.4/$G$1)</f>
        <v>0.989315672209663</v>
      </c>
      <c r="H928" s="0" t="n">
        <f aca="false">COSH($E$1*B928*86.4/$G$1)</f>
        <v>6.85921705785823</v>
      </c>
      <c r="I928" s="0" t="n">
        <f aca="false">(($G$1^2*1000)/($E$1*$I$1))*(H928-1)</f>
        <v>5.68179064502782</v>
      </c>
      <c r="J928" s="0" t="n">
        <f aca="false">$J$3*EXP(-$E$1*B928*86.4/$G$1)</f>
        <v>73.2861234312288</v>
      </c>
      <c r="K928" s="0" t="n">
        <f aca="false">J927-J928</f>
        <v>0.207346586966807</v>
      </c>
    </row>
    <row r="929" customFormat="false" ht="12.8" hidden="false" customHeight="false" outlineLevel="0" collapsed="false">
      <c r="A929" s="0" t="n">
        <v>1</v>
      </c>
      <c r="B929" s="0" t="n">
        <f aca="false">B928+A929</f>
        <v>926</v>
      </c>
      <c r="C929" s="0" t="n">
        <f aca="false">$C$3+($G$1/($E$1*86.4))*SINH($E$1*B929*86.4/$G$1)</f>
        <v>47012.7301974844</v>
      </c>
      <c r="D929" s="0" t="n">
        <f aca="false">C929-$C$3-B929</f>
        <v>1482.73019748439</v>
      </c>
      <c r="E929" s="0" t="n">
        <f aca="false">$E$1*B929*86.4</f>
        <v>784862.784</v>
      </c>
      <c r="F929" s="0" t="n">
        <f aca="false">$G$1*G929</f>
        <v>296812.666376778</v>
      </c>
      <c r="G929" s="0" t="n">
        <f aca="false">TANH($E$1*B929*86.4/$G$1)</f>
        <v>0.98937555458926</v>
      </c>
      <c r="H929" s="0" t="n">
        <f aca="false">COSH($E$1*B929*86.4/$G$1)</f>
        <v>6.87841661417837</v>
      </c>
      <c r="I929" s="0" t="n">
        <f aca="false">(($G$1^2*1000)/($E$1*$I$1))*(H929-1)</f>
        <v>5.70040880824164</v>
      </c>
      <c r="J929" s="0" t="n">
        <f aca="false">$J$3*EXP(-$E$1*B929*86.4/$G$1)</f>
        <v>73.0793618296644</v>
      </c>
      <c r="K929" s="0" t="n">
        <f aca="false">J928-J929</f>
        <v>0.20676160156448</v>
      </c>
    </row>
    <row r="930" customFormat="false" ht="12.8" hidden="false" customHeight="false" outlineLevel="0" collapsed="false">
      <c r="A930" s="0" t="n">
        <v>1</v>
      </c>
      <c r="B930" s="0" t="n">
        <f aca="false">B929+A930</f>
        <v>927</v>
      </c>
      <c r="C930" s="0" t="n">
        <f aca="false">$C$3+($G$1/($E$1*86.4))*SINH($E$1*B930*86.4/$G$1)</f>
        <v>47019.6182367474</v>
      </c>
      <c r="D930" s="0" t="n">
        <f aca="false">C930-$C$3-B930</f>
        <v>1488.61823674741</v>
      </c>
      <c r="E930" s="0" t="n">
        <f aca="false">$E$1*B930*86.4</f>
        <v>785710.368</v>
      </c>
      <c r="F930" s="0" t="n">
        <f aca="false">$G$1*G930</f>
        <v>296830.530938676</v>
      </c>
      <c r="G930" s="0" t="n">
        <f aca="false">TANH($E$1*B930*86.4/$G$1)</f>
        <v>0.98943510312892</v>
      </c>
      <c r="H930" s="0" t="n">
        <f aca="false">COSH($E$1*B930*86.4/$G$1)</f>
        <v>6.89767107548081</v>
      </c>
      <c r="I930" s="0" t="n">
        <f aca="false">(($G$1^2*1000)/($E$1*$I$1))*(H930-1)</f>
        <v>5.71908021382757</v>
      </c>
      <c r="J930" s="0" t="n">
        <f aca="false">$J$3*EXP(-$E$1*B930*86.4/$G$1)</f>
        <v>72.8731835630872</v>
      </c>
      <c r="K930" s="0" t="n">
        <f aca="false">J929-J930</f>
        <v>0.206178266577155</v>
      </c>
    </row>
    <row r="931" customFormat="false" ht="12.8" hidden="false" customHeight="false" outlineLevel="0" collapsed="false">
      <c r="A931" s="0" t="n">
        <v>1</v>
      </c>
      <c r="B931" s="0" t="n">
        <f aca="false">B930+A931</f>
        <v>928</v>
      </c>
      <c r="C931" s="0" t="n">
        <f aca="false">$C$3+($G$1/($E$1*86.4))*SINH($E$1*B931*86.4/$G$1)</f>
        <v>47026.5255579882</v>
      </c>
      <c r="D931" s="0" t="n">
        <f aca="false">C931-$C$3-B931</f>
        <v>1494.52555798824</v>
      </c>
      <c r="E931" s="0" t="n">
        <f aca="false">$E$1*B931*86.4</f>
        <v>786557.952</v>
      </c>
      <c r="F931" s="0" t="n">
        <f aca="false">$G$1*G931</f>
        <v>296848.295900955</v>
      </c>
      <c r="G931" s="0" t="n">
        <f aca="false">TANH($E$1*B931*86.4/$G$1)</f>
        <v>0.98949431966985</v>
      </c>
      <c r="H931" s="0" t="n">
        <f aca="false">COSH($E$1*B931*86.4/$G$1)</f>
        <v>6.91698059545875</v>
      </c>
      <c r="I931" s="0" t="n">
        <f aca="false">(($G$1^2*1000)/($E$1*$I$1))*(H931-1)</f>
        <v>5.73780501082472</v>
      </c>
      <c r="J931" s="0" t="n">
        <f aca="false">$J$3*EXP(-$E$1*B931*86.4/$G$1)</f>
        <v>72.6675869857387</v>
      </c>
      <c r="K931" s="0" t="n">
        <f aca="false">J930-J931</f>
        <v>0.205596577348544</v>
      </c>
    </row>
    <row r="932" customFormat="false" ht="12.8" hidden="false" customHeight="false" outlineLevel="0" collapsed="false">
      <c r="A932" s="0" t="n">
        <v>1</v>
      </c>
      <c r="B932" s="0" t="n">
        <f aca="false">B931+A932</f>
        <v>929</v>
      </c>
      <c r="C932" s="0" t="n">
        <f aca="false">$C$3+($G$1/($E$1*86.4))*SINH($E$1*B932*86.4/$G$1)</f>
        <v>47033.4522163426</v>
      </c>
      <c r="D932" s="0" t="n">
        <f aca="false">C932-$C$3-B932</f>
        <v>1500.45221634259</v>
      </c>
      <c r="E932" s="0" t="n">
        <f aca="false">$E$1*B932*86.4</f>
        <v>787405.536</v>
      </c>
      <c r="F932" s="0" t="n">
        <f aca="false">$G$1*G932</f>
        <v>296865.961812998</v>
      </c>
      <c r="G932" s="0" t="n">
        <f aca="false">TANH($E$1*B932*86.4/$G$1)</f>
        <v>0.989553206043327</v>
      </c>
      <c r="H932" s="0" t="n">
        <f aca="false">COSH($E$1*B932*86.4/$G$1)</f>
        <v>6.9363453282449</v>
      </c>
      <c r="I932" s="0" t="n">
        <f aca="false">(($G$1^2*1000)/($E$1*$I$1))*(H932-1)</f>
        <v>5.75658334869842</v>
      </c>
      <c r="J932" s="0" t="n">
        <f aca="false">$J$3*EXP(-$E$1*B932*86.4/$G$1)</f>
        <v>72.4625704565031</v>
      </c>
      <c r="K932" s="0" t="n">
        <f aca="false">J931-J932</f>
        <v>0.20501652923555</v>
      </c>
    </row>
    <row r="933" customFormat="false" ht="12.8" hidden="false" customHeight="false" outlineLevel="0" collapsed="false">
      <c r="A933" s="0" t="n">
        <v>1</v>
      </c>
      <c r="B933" s="0" t="n">
        <f aca="false">B932+A933</f>
        <v>930</v>
      </c>
      <c r="C933" s="0" t="n">
        <f aca="false">$C$3+($G$1/($E$1*86.4))*SINH($E$1*B933*86.4/$G$1)</f>
        <v>47040.3982671005</v>
      </c>
      <c r="D933" s="0" t="n">
        <f aca="false">C933-$C$3-B933</f>
        <v>1506.39826710052</v>
      </c>
      <c r="E933" s="0" t="n">
        <f aca="false">$E$1*B933*86.4</f>
        <v>788253.12</v>
      </c>
      <c r="F933" s="0" t="n">
        <f aca="false">$G$1*G933</f>
        <v>296883.529221224</v>
      </c>
      <c r="G933" s="0" t="n">
        <f aca="false">TANH($E$1*B933*86.4/$G$1)</f>
        <v>0.989611764070747</v>
      </c>
      <c r="H933" s="0" t="n">
        <f aca="false">COSH($E$1*B933*86.4/$G$1)</f>
        <v>6.95576542841265</v>
      </c>
      <c r="I933" s="0" t="n">
        <f aca="false">(($G$1^2*1000)/($E$1*$I$1))*(H933-1)</f>
        <v>5.77541537734133</v>
      </c>
      <c r="J933" s="0" t="n">
        <f aca="false">$J$3*EXP(-$E$1*B933*86.4/$G$1)</f>
        <v>72.2581323388951</v>
      </c>
      <c r="K933" s="0" t="n">
        <f aca="false">J932-J933</f>
        <v>0.204438117607964</v>
      </c>
    </row>
    <row r="934" customFormat="false" ht="12.8" hidden="false" customHeight="false" outlineLevel="0" collapsed="false">
      <c r="A934" s="0" t="n">
        <v>1</v>
      </c>
      <c r="B934" s="0" t="n">
        <f aca="false">B933+A934</f>
        <v>931</v>
      </c>
      <c r="C934" s="0" t="n">
        <f aca="false">$C$3+($G$1/($E$1*86.4))*SINH($E$1*B934*86.4/$G$1)</f>
        <v>47047.3637657069</v>
      </c>
      <c r="D934" s="0" t="n">
        <f aca="false">C934-$C$3-B934</f>
        <v>1512.36376570688</v>
      </c>
      <c r="E934" s="0" t="n">
        <f aca="false">$E$1*B934*86.4</f>
        <v>789100.704</v>
      </c>
      <c r="F934" s="0" t="n">
        <f aca="false">$G$1*G934</f>
        <v>296900.998669102</v>
      </c>
      <c r="G934" s="0" t="n">
        <f aca="false">TANH($E$1*B934*86.4/$G$1)</f>
        <v>0.989669995563673</v>
      </c>
      <c r="H934" s="0" t="n">
        <f aca="false">COSH($E$1*B934*86.4/$G$1)</f>
        <v>6.97524105097737</v>
      </c>
      <c r="I934" s="0" t="n">
        <f aca="false">(($G$1^2*1000)/($E$1*$I$1))*(H934-1)</f>
        <v>5.79430124707472</v>
      </c>
      <c r="J934" s="0" t="n">
        <f aca="false">$J$3*EXP(-$E$1*B934*86.4/$G$1)</f>
        <v>72.0542710010463</v>
      </c>
      <c r="K934" s="0" t="n">
        <f aca="false">J933-J934</f>
        <v>0.203861337848892</v>
      </c>
    </row>
    <row r="935" customFormat="false" ht="12.8" hidden="false" customHeight="false" outlineLevel="0" collapsed="false">
      <c r="A935" s="0" t="n">
        <v>1</v>
      </c>
      <c r="B935" s="0" t="n">
        <f aca="false">B934+A935</f>
        <v>932</v>
      </c>
      <c r="C935" s="0" t="n">
        <f aca="false">$C$3+($G$1/($E$1*86.4))*SINH($E$1*B935*86.4/$G$1)</f>
        <v>47054.3487677618</v>
      </c>
      <c r="D935" s="0" t="n">
        <f aca="false">C935-$C$3-B935</f>
        <v>1518.34876776175</v>
      </c>
      <c r="E935" s="0" t="n">
        <f aca="false">$E$1*B935*86.4</f>
        <v>789948.288</v>
      </c>
      <c r="F935" s="0" t="n">
        <f aca="false">$G$1*G935</f>
        <v>296918.370697168</v>
      </c>
      <c r="G935" s="0" t="n">
        <f aca="false">TANH($E$1*B935*86.4/$G$1)</f>
        <v>0.989727902323893</v>
      </c>
      <c r="H935" s="0" t="n">
        <f aca="false">COSH($E$1*B935*86.4/$G$1)</f>
        <v>6.99477235139762</v>
      </c>
      <c r="I935" s="0" t="n">
        <f aca="false">(($G$1^2*1000)/($E$1*$I$1))*(H935-1)</f>
        <v>5.81324110864959</v>
      </c>
      <c r="J935" s="0" t="n">
        <f aca="false">$J$3*EXP(-$E$1*B935*86.4/$G$1)</f>
        <v>71.850984815692</v>
      </c>
      <c r="K935" s="0" t="n">
        <f aca="false">J934-J935</f>
        <v>0.203286185354244</v>
      </c>
    </row>
    <row r="936" customFormat="false" ht="12.8" hidden="false" customHeight="false" outlineLevel="0" collapsed="false">
      <c r="A936" s="0" t="n">
        <v>1</v>
      </c>
      <c r="B936" s="0" t="n">
        <f aca="false">B935+A936</f>
        <v>933</v>
      </c>
      <c r="C936" s="0" t="n">
        <f aca="false">$C$3+($G$1/($E$1*86.4))*SINH($E$1*B936*86.4/$G$1)</f>
        <v>47061.3533290209</v>
      </c>
      <c r="D936" s="0" t="n">
        <f aca="false">C936-$C$3-B936</f>
        <v>1524.35332902092</v>
      </c>
      <c r="E936" s="0" t="n">
        <f aca="false">$E$1*B936*86.4</f>
        <v>790795.872</v>
      </c>
      <c r="F936" s="0" t="n">
        <f aca="false">$G$1*G936</f>
        <v>296935.645843039</v>
      </c>
      <c r="G936" s="0" t="n">
        <f aca="false">TANH($E$1*B936*86.4/$G$1)</f>
        <v>0.989785486143462</v>
      </c>
      <c r="H936" s="0" t="n">
        <f aca="false">COSH($E$1*B936*86.4/$G$1)</f>
        <v>7.01435948557638</v>
      </c>
      <c r="I936" s="0" t="n">
        <f aca="false">(($G$1^2*1000)/($E$1*$I$1))*(H936-1)</f>
        <v>5.83223511324796</v>
      </c>
      <c r="J936" s="0" t="n">
        <f aca="false">$J$3*EXP(-$E$1*B936*86.4/$G$1)</f>
        <v>71.6482721601588</v>
      </c>
      <c r="K936" s="0" t="n">
        <f aca="false">J935-J936</f>
        <v>0.202712655533162</v>
      </c>
    </row>
    <row r="937" customFormat="false" ht="12.8" hidden="false" customHeight="false" outlineLevel="0" collapsed="false">
      <c r="A937" s="0" t="n">
        <v>1</v>
      </c>
      <c r="B937" s="0" t="n">
        <f aca="false">B936+A937</f>
        <v>934</v>
      </c>
      <c r="C937" s="0" t="n">
        <f aca="false">$C$3+($G$1/($E$1*86.4))*SINH($E$1*B937*86.4/$G$1)</f>
        <v>47068.3775053963</v>
      </c>
      <c r="D937" s="0" t="n">
        <f aca="false">C937-$C$3-B937</f>
        <v>1530.37750539627</v>
      </c>
      <c r="E937" s="0" t="n">
        <f aca="false">$E$1*B937*86.4</f>
        <v>791643.456</v>
      </c>
      <c r="F937" s="0" t="n">
        <f aca="false">$G$1*G937</f>
        <v>296952.824641428</v>
      </c>
      <c r="G937" s="0" t="n">
        <f aca="false">TANH($E$1*B937*86.4/$G$1)</f>
        <v>0.989842748804759</v>
      </c>
      <c r="H937" s="0" t="n">
        <f aca="false">COSH($E$1*B937*86.4/$G$1)</f>
        <v>7.03400260986233</v>
      </c>
      <c r="I937" s="0" t="n">
        <f aca="false">(($G$1^2*1000)/($E$1*$I$1))*(H937-1)</f>
        <v>5.85128341248401</v>
      </c>
      <c r="J937" s="0" t="n">
        <f aca="false">$J$3*EXP(-$E$1*B937*86.4/$G$1)</f>
        <v>71.4461314163512</v>
      </c>
      <c r="K937" s="0" t="n">
        <f aca="false">J936-J937</f>
        <v>0.202140743807618</v>
      </c>
    </row>
    <row r="938" customFormat="false" ht="12.8" hidden="false" customHeight="false" outlineLevel="0" collapsed="false">
      <c r="A938" s="0" t="n">
        <v>1</v>
      </c>
      <c r="B938" s="0" t="n">
        <f aca="false">B937+A938</f>
        <v>935</v>
      </c>
      <c r="C938" s="0" t="n">
        <f aca="false">$C$3+($G$1/($E$1*86.4))*SINH($E$1*B938*86.4/$G$1)</f>
        <v>47075.4213529563</v>
      </c>
      <c r="D938" s="0" t="n">
        <f aca="false">C938-$C$3-B938</f>
        <v>1536.42135295627</v>
      </c>
      <c r="E938" s="0" t="n">
        <f aca="false">$E$1*B938*86.4</f>
        <v>792491.04</v>
      </c>
      <c r="F938" s="0" t="n">
        <f aca="false">$G$1*G938</f>
        <v>296969.90762416</v>
      </c>
      <c r="G938" s="0" t="n">
        <f aca="false">TANH($E$1*B938*86.4/$G$1)</f>
        <v>0.989899692080533</v>
      </c>
      <c r="H938" s="0" t="n">
        <f aca="false">COSH($E$1*B938*86.4/$G$1)</f>
        <v>7.05370188105104</v>
      </c>
      <c r="I938" s="0" t="n">
        <f aca="false">(($G$1^2*1000)/($E$1*$I$1))*(H938-1)</f>
        <v>5.87038615840528</v>
      </c>
      <c r="J938" s="0" t="n">
        <f aca="false">$J$3*EXP(-$E$1*B938*86.4/$G$1)</f>
        <v>71.244560970739</v>
      </c>
      <c r="K938" s="0" t="n">
        <f aca="false">J937-J938</f>
        <v>0.201570445612262</v>
      </c>
    </row>
    <row r="939" customFormat="false" ht="12.8" hidden="false" customHeight="false" outlineLevel="0" collapsed="false">
      <c r="A939" s="0" t="n">
        <v>1</v>
      </c>
      <c r="B939" s="0" t="n">
        <f aca="false">B938+A939</f>
        <v>936</v>
      </c>
      <c r="C939" s="0" t="n">
        <f aca="false">$C$3+($G$1/($E$1*86.4))*SINH($E$1*B939*86.4/$G$1)</f>
        <v>47082.4849279264</v>
      </c>
      <c r="D939" s="0" t="n">
        <f aca="false">C939-$C$3-B939</f>
        <v>1542.48492792642</v>
      </c>
      <c r="E939" s="0" t="n">
        <f aca="false">$E$1*B939*86.4</f>
        <v>793338.624</v>
      </c>
      <c r="F939" s="0" t="n">
        <f aca="false">$G$1*G939</f>
        <v>296986.895320186</v>
      </c>
      <c r="G939" s="0" t="n">
        <f aca="false">TANH($E$1*B939*86.4/$G$1)</f>
        <v>0.989956317733953</v>
      </c>
      <c r="H939" s="0" t="n">
        <f aca="false">COSH($E$1*B939*86.4/$G$1)</f>
        <v>7.07345745638629</v>
      </c>
      <c r="I939" s="0" t="n">
        <f aca="false">(($G$1^2*1000)/($E$1*$I$1))*(H939-1)</f>
        <v>5.88954350349398</v>
      </c>
      <c r="J939" s="0" t="n">
        <f aca="false">$J$3*EXP(-$E$1*B939*86.4/$G$1)</f>
        <v>71.0435592143438</v>
      </c>
      <c r="K939" s="0" t="n">
        <f aca="false">J938-J939</f>
        <v>0.201001756395144</v>
      </c>
    </row>
    <row r="940" customFormat="false" ht="12.8" hidden="false" customHeight="false" outlineLevel="0" collapsed="false">
      <c r="A940" s="0" t="n">
        <v>1</v>
      </c>
      <c r="B940" s="0" t="n">
        <f aca="false">B939+A940</f>
        <v>937</v>
      </c>
      <c r="C940" s="0" t="n">
        <f aca="false">$C$3+($G$1/($E$1*86.4))*SINH($E$1*B940*86.4/$G$1)</f>
        <v>47089.5682866897</v>
      </c>
      <c r="D940" s="0" t="n">
        <f aca="false">C940-$C$3-B940</f>
        <v>1548.56828668965</v>
      </c>
      <c r="E940" s="0" t="n">
        <f aca="false">$E$1*B940*86.4</f>
        <v>794186.208</v>
      </c>
      <c r="F940" s="0" t="n">
        <f aca="false">$G$1*G940</f>
        <v>297003.788255598</v>
      </c>
      <c r="G940" s="0" t="n">
        <f aca="false">TANH($E$1*B940*86.4/$G$1)</f>
        <v>0.990012627518659</v>
      </c>
      <c r="H940" s="0" t="n">
        <f aca="false">COSH($E$1*B940*86.4/$G$1)</f>
        <v>7.09326949356127</v>
      </c>
      <c r="I940" s="0" t="n">
        <f aca="false">(($G$1^2*1000)/($E$1*$I$1))*(H940-1)</f>
        <v>5.90875560066809</v>
      </c>
      <c r="J940" s="0" t="n">
        <f aca="false">$J$3*EXP(-$E$1*B940*86.4/$G$1)</f>
        <v>70.8431245427271</v>
      </c>
      <c r="K940" s="0" t="n">
        <f aca="false">J939-J940</f>
        <v>0.200434671616705</v>
      </c>
    </row>
    <row r="941" customFormat="false" ht="12.8" hidden="false" customHeight="false" outlineLevel="0" collapsed="false">
      <c r="A941" s="0" t="n">
        <v>1</v>
      </c>
      <c r="B941" s="0" t="n">
        <f aca="false">B940+A941</f>
        <v>938</v>
      </c>
      <c r="C941" s="0" t="n">
        <f aca="false">$C$3+($G$1/($E$1*86.4))*SINH($E$1*B941*86.4/$G$1)</f>
        <v>47096.6714857869</v>
      </c>
      <c r="D941" s="0" t="n">
        <f aca="false">C941-$C$3-B941</f>
        <v>1554.67148578686</v>
      </c>
      <c r="E941" s="0" t="n">
        <f aca="false">$E$1*B941*86.4</f>
        <v>795033.792</v>
      </c>
      <c r="F941" s="0" t="n">
        <f aca="false">$G$1*G941</f>
        <v>297020.586953643</v>
      </c>
      <c r="G941" s="0" t="n">
        <f aca="false">TANH($E$1*B941*86.4/$G$1)</f>
        <v>0.990068623178811</v>
      </c>
      <c r="H941" s="0" t="n">
        <f aca="false">COSH($E$1*B941*86.4/$G$1)</f>
        <v>7.11313815071988</v>
      </c>
      <c r="I941" s="0" t="n">
        <f aca="false">(($G$1^2*1000)/($E$1*$I$1))*(H941-1)</f>
        <v>5.92802260328265</v>
      </c>
      <c r="J941" s="0" t="n">
        <f aca="false">$J$3*EXP(-$E$1*B941*86.4/$G$1)</f>
        <v>70.6432553559768</v>
      </c>
      <c r="K941" s="0" t="n">
        <f aca="false">J940-J941</f>
        <v>0.199869186750362</v>
      </c>
    </row>
    <row r="942" customFormat="false" ht="12.8" hidden="false" customHeight="false" outlineLevel="0" collapsed="false">
      <c r="A942" s="0" t="n">
        <v>1</v>
      </c>
      <c r="B942" s="0" t="n">
        <f aca="false">B941+A942</f>
        <v>939</v>
      </c>
      <c r="C942" s="0" t="n">
        <f aca="false">$C$3+($G$1/($E$1*86.4))*SINH($E$1*B942*86.4/$G$1)</f>
        <v>47103.7945819173</v>
      </c>
      <c r="D942" s="0" t="n">
        <f aca="false">C942-$C$3-B942</f>
        <v>1560.79458191728</v>
      </c>
      <c r="E942" s="0" t="n">
        <f aca="false">$E$1*B942*86.4</f>
        <v>795881.376</v>
      </c>
      <c r="F942" s="0" t="n">
        <f aca="false">$G$1*G942</f>
        <v>297037.29193474</v>
      </c>
      <c r="G942" s="0" t="n">
        <f aca="false">TANH($E$1*B942*86.4/$G$1)</f>
        <v>0.990124306449135</v>
      </c>
      <c r="H942" s="0" t="n">
        <f aca="false">COSH($E$1*B942*86.4/$G$1)</f>
        <v>7.13306358645795</v>
      </c>
      <c r="I942" s="0" t="n">
        <f aca="false">(($G$1^2*1000)/($E$1*$I$1))*(H942-1)</f>
        <v>5.94734466513097</v>
      </c>
      <c r="J942" s="0" t="n">
        <f aca="false">$J$3*EXP(-$E$1*B942*86.4/$G$1)</f>
        <v>70.4439500586944</v>
      </c>
      <c r="K942" s="0" t="n">
        <f aca="false">J941-J942</f>
        <v>0.199305297282308</v>
      </c>
    </row>
    <row r="943" customFormat="false" ht="12.8" hidden="false" customHeight="false" outlineLevel="0" collapsed="false">
      <c r="A943" s="0" t="n">
        <v>1</v>
      </c>
      <c r="B943" s="0" t="n">
        <f aca="false">B942+A943</f>
        <v>940</v>
      </c>
      <c r="C943" s="0" t="n">
        <f aca="false">$C$3+($G$1/($E$1*86.4))*SINH($E$1*B943*86.4/$G$1)</f>
        <v>47110.937631939</v>
      </c>
      <c r="D943" s="0" t="n">
        <f aca="false">C943-$C$3-B943</f>
        <v>1566.93763193898</v>
      </c>
      <c r="E943" s="0" t="n">
        <f aca="false">$E$1*B943*86.4</f>
        <v>796728.96</v>
      </c>
      <c r="F943" s="0" t="n">
        <f aca="false">$G$1*G943</f>
        <v>297053.903716493</v>
      </c>
      <c r="G943" s="0" t="n">
        <f aca="false">TANH($E$1*B943*86.4/$G$1)</f>
        <v>0.990179679054976</v>
      </c>
      <c r="H943" s="0" t="n">
        <f aca="false">COSH($E$1*B943*86.4/$G$1)</f>
        <v>7.15304595982455</v>
      </c>
      <c r="I943" s="0" t="n">
        <f aca="false">(($G$1^2*1000)/($E$1*$I$1))*(H943-1)</f>
        <v>5.96672194044586</v>
      </c>
      <c r="J943" s="0" t="n">
        <f aca="false">$J$3*EXP(-$E$1*B943*86.4/$G$1)</f>
        <v>70.245207059983</v>
      </c>
      <c r="K943" s="0" t="n">
        <f aca="false">J942-J943</f>
        <v>0.198742998711495</v>
      </c>
    </row>
    <row r="944" customFormat="false" ht="12.8" hidden="false" customHeight="false" outlineLevel="0" collapsed="false">
      <c r="A944" s="0" t="n">
        <v>1</v>
      </c>
      <c r="B944" s="0" t="n">
        <f aca="false">B943+A944</f>
        <v>941</v>
      </c>
      <c r="C944" s="0" t="n">
        <f aca="false">$C$3+($G$1/($E$1*86.4))*SINH($E$1*B944*86.4/$G$1)</f>
        <v>47118.1006928693</v>
      </c>
      <c r="D944" s="0" t="n">
        <f aca="false">C944-$C$3-B944</f>
        <v>1573.1006928693</v>
      </c>
      <c r="E944" s="0" t="n">
        <f aca="false">$E$1*B944*86.4</f>
        <v>797576.544</v>
      </c>
      <c r="F944" s="0" t="n">
        <f aca="false">$G$1*G944</f>
        <v>297070.422813704</v>
      </c>
      <c r="G944" s="0" t="n">
        <f aca="false">TANH($E$1*B944*86.4/$G$1)</f>
        <v>0.990234742712345</v>
      </c>
      <c r="H944" s="0" t="n">
        <f aca="false">COSH($E$1*B944*86.4/$G$1)</f>
        <v>7.17308543032322</v>
      </c>
      <c r="I944" s="0" t="n">
        <f aca="false">(($G$1^2*1000)/($E$1*$I$1))*(H944-1)</f>
        <v>5.98615458390083</v>
      </c>
      <c r="J944" s="0" t="n">
        <f aca="false">$J$3*EXP(-$E$1*B944*86.4/$G$1)</f>
        <v>70.0470247734334</v>
      </c>
      <c r="K944" s="0" t="n">
        <f aca="false">J943-J944</f>
        <v>0.198182286549525</v>
      </c>
    </row>
    <row r="945" customFormat="false" ht="12.8" hidden="false" customHeight="false" outlineLevel="0" collapsed="false">
      <c r="A945" s="0" t="n">
        <v>1</v>
      </c>
      <c r="B945" s="0" t="n">
        <f aca="false">B944+A945</f>
        <v>942</v>
      </c>
      <c r="C945" s="0" t="n">
        <f aca="false">$C$3+($G$1/($E$1*86.4))*SINH($E$1*B945*86.4/$G$1)</f>
        <v>47125.2838218853</v>
      </c>
      <c r="D945" s="0" t="n">
        <f aca="false">C945-$C$3-B945</f>
        <v>1579.28382188532</v>
      </c>
      <c r="E945" s="0" t="n">
        <f aca="false">$E$1*B945*86.4</f>
        <v>798424.128</v>
      </c>
      <c r="F945" s="0" t="n">
        <f aca="false">$G$1*G945</f>
        <v>297086.84973839</v>
      </c>
      <c r="G945" s="0" t="n">
        <f aca="false">TANH($E$1*B945*86.4/$G$1)</f>
        <v>0.990289499127967</v>
      </c>
      <c r="H945" s="0" t="n">
        <f aca="false">COSH($E$1*B945*86.4/$G$1)</f>
        <v>7.19318215791327</v>
      </c>
      <c r="I945" s="0" t="n">
        <f aca="false">(($G$1^2*1000)/($E$1*$I$1))*(H945-1)</f>
        <v>6.00564275061138</v>
      </c>
      <c r="J945" s="0" t="n">
        <f aca="false">$J$3*EXP(-$E$1*B945*86.4/$G$1)</f>
        <v>69.8494016171128</v>
      </c>
      <c r="K945" s="0" t="n">
        <f aca="false">J944-J945</f>
        <v>0.197623156320589</v>
      </c>
    </row>
    <row r="946" customFormat="false" ht="12.8" hidden="false" customHeight="false" outlineLevel="0" collapsed="false">
      <c r="A946" s="0" t="n">
        <v>1</v>
      </c>
      <c r="B946" s="0" t="n">
        <f aca="false">B945+A946</f>
        <v>943</v>
      </c>
      <c r="C946" s="0" t="n">
        <f aca="false">$C$3+($G$1/($E$1*86.4))*SINH($E$1*B946*86.4/$G$1)</f>
        <v>47132.4870763243</v>
      </c>
      <c r="D946" s="0" t="n">
        <f aca="false">C946-$C$3-B946</f>
        <v>1585.48707632429</v>
      </c>
      <c r="E946" s="0" t="n">
        <f aca="false">$E$1*B946*86.4</f>
        <v>799271.712</v>
      </c>
      <c r="F946" s="0" t="n">
        <f aca="false">$G$1*G946</f>
        <v>297103.184999798</v>
      </c>
      <c r="G946" s="0" t="n">
        <f aca="false">TANH($E$1*B946*86.4/$G$1)</f>
        <v>0.990343949999326</v>
      </c>
      <c r="H946" s="0" t="n">
        <f aca="false">COSH($E$1*B946*86.4/$G$1)</f>
        <v>7.21333630301105</v>
      </c>
      <c r="I946" s="0" t="n">
        <f aca="false">(($G$1^2*1000)/($E$1*$I$1))*(H946-1)</f>
        <v>6.02518659613619</v>
      </c>
      <c r="J946" s="0" t="n">
        <f aca="false">$J$3*EXP(-$E$1*B946*86.4/$G$1)</f>
        <v>69.6523360135511</v>
      </c>
      <c r="K946" s="0" t="n">
        <f aca="false">J945-J946</f>
        <v>0.197065603561711</v>
      </c>
    </row>
    <row r="947" customFormat="false" ht="12.8" hidden="false" customHeight="false" outlineLevel="0" collapsed="false">
      <c r="A947" s="0" t="n">
        <v>1</v>
      </c>
      <c r="B947" s="0" t="n">
        <f aca="false">B946+A947</f>
        <v>944</v>
      </c>
      <c r="C947" s="0" t="n">
        <f aca="false">$C$3+($G$1/($E$1*86.4))*SINH($E$1*B947*86.4/$G$1)</f>
        <v>47139.7105136841</v>
      </c>
      <c r="D947" s="0" t="n">
        <f aca="false">C947-$C$3-B947</f>
        <v>1591.71051368413</v>
      </c>
      <c r="E947" s="0" t="n">
        <f aca="false">$E$1*B947*86.4</f>
        <v>800119.296</v>
      </c>
      <c r="F947" s="0" t="n">
        <f aca="false">$G$1*G947</f>
        <v>297119.429104416</v>
      </c>
      <c r="G947" s="0" t="n">
        <f aca="false">TANH($E$1*B947*86.4/$G$1)</f>
        <v>0.990398097014721</v>
      </c>
      <c r="H947" s="0" t="n">
        <f aca="false">COSH($E$1*B947*86.4/$G$1)</f>
        <v>7.23354802649123</v>
      </c>
      <c r="I947" s="0" t="n">
        <f aca="false">(($G$1^2*1000)/($E$1*$I$1))*(H947-1)</f>
        <v>6.04478627647839</v>
      </c>
      <c r="J947" s="0" t="n">
        <f aca="false">$J$3*EXP(-$E$1*B947*86.4/$G$1)</f>
        <v>69.4558263897287</v>
      </c>
      <c r="K947" s="0" t="n">
        <f aca="false">J946-J947</f>
        <v>0.196509623822379</v>
      </c>
    </row>
    <row r="948" customFormat="false" ht="12.8" hidden="false" customHeight="false" outlineLevel="0" collapsed="false">
      <c r="A948" s="0" t="n">
        <v>1</v>
      </c>
      <c r="B948" s="0" t="n">
        <f aca="false">B947+A948</f>
        <v>945</v>
      </c>
      <c r="C948" s="0" t="n">
        <f aca="false">$C$3+($G$1/($E$1*86.4))*SINH($E$1*B948*86.4/$G$1)</f>
        <v>47146.9541916238</v>
      </c>
      <c r="D948" s="0" t="n">
        <f aca="false">C948-$C$3-B948</f>
        <v>1597.95419162385</v>
      </c>
      <c r="E948" s="0" t="n">
        <f aca="false">$E$1*B948*86.4</f>
        <v>800966.88</v>
      </c>
      <c r="F948" s="0" t="n">
        <f aca="false">$G$1*G948</f>
        <v>297135.582555991</v>
      </c>
      <c r="G948" s="0" t="n">
        <f aca="false">TANH($E$1*B948*86.4/$G$1)</f>
        <v>0.990451941853304</v>
      </c>
      <c r="H948" s="0" t="n">
        <f aca="false">COSH($E$1*B948*86.4/$G$1)</f>
        <v>7.25381748968808</v>
      </c>
      <c r="I948" s="0" t="n">
        <f aca="false">(($G$1^2*1000)/($E$1*$I$1))*(H948-1)</f>
        <v>6.06444194808678</v>
      </c>
      <c r="J948" s="0" t="n">
        <f aca="false">$J$3*EXP(-$E$1*B948*86.4/$G$1)</f>
        <v>69.2598711770643</v>
      </c>
      <c r="K948" s="0" t="n">
        <f aca="false">J947-J948</f>
        <v>0.195955212664487</v>
      </c>
    </row>
    <row r="949" customFormat="false" ht="12.8" hidden="false" customHeight="false" outlineLevel="0" collapsed="false">
      <c r="A949" s="0" t="n">
        <v>1</v>
      </c>
      <c r="B949" s="0" t="n">
        <f aca="false">B948+A949</f>
        <v>946</v>
      </c>
      <c r="C949" s="0" t="n">
        <f aca="false">$C$3+($G$1/($E$1*86.4))*SINH($E$1*B949*86.4/$G$1)</f>
        <v>47154.218167964</v>
      </c>
      <c r="D949" s="0" t="n">
        <f aca="false">C949-$C$3-B949</f>
        <v>1604.21816796401</v>
      </c>
      <c r="E949" s="0" t="n">
        <f aca="false">$E$1*B949*86.4</f>
        <v>801814.464</v>
      </c>
      <c r="F949" s="0" t="n">
        <f aca="false">$G$1*G949</f>
        <v>297151.64585554</v>
      </c>
      <c r="G949" s="0" t="n">
        <f aca="false">TANH($E$1*B949*86.4/$G$1)</f>
        <v>0.990505486185135</v>
      </c>
      <c r="H949" s="0" t="n">
        <f aca="false">COSH($E$1*B949*86.4/$G$1)</f>
        <v>7.27414485439675</v>
      </c>
      <c r="I949" s="0" t="n">
        <f aca="false">(($G$1^2*1000)/($E$1*$I$1))*(H949-1)</f>
        <v>6.08415376785712</v>
      </c>
      <c r="J949" s="0" t="n">
        <f aca="false">$J$3*EXP(-$E$1*B949*86.4/$G$1)</f>
        <v>69.0644688114015</v>
      </c>
      <c r="K949" s="0" t="n">
        <f aca="false">J948-J949</f>
        <v>0.195402365662801</v>
      </c>
    </row>
    <row r="950" customFormat="false" ht="12.8" hidden="false" customHeight="false" outlineLevel="0" collapsed="false">
      <c r="A950" s="0" t="n">
        <v>1</v>
      </c>
      <c r="B950" s="0" t="n">
        <f aca="false">B949+A950</f>
        <v>947</v>
      </c>
      <c r="C950" s="0" t="n">
        <f aca="false">$C$3+($G$1/($E$1*86.4))*SINH($E$1*B950*86.4/$G$1)</f>
        <v>47161.5025006872</v>
      </c>
      <c r="D950" s="0" t="n">
        <f aca="false">C950-$C$3-B950</f>
        <v>1610.50250068722</v>
      </c>
      <c r="E950" s="0" t="n">
        <f aca="false">$E$1*B950*86.4</f>
        <v>802662.048</v>
      </c>
      <c r="F950" s="0" t="n">
        <f aca="false">$G$1*G950</f>
        <v>297167.619501367</v>
      </c>
      <c r="G950" s="0" t="n">
        <f aca="false">TANH($E$1*B950*86.4/$G$1)</f>
        <v>0.990558731671225</v>
      </c>
      <c r="H950" s="0" t="n">
        <f aca="false">COSH($E$1*B950*86.4/$G$1)</f>
        <v>7.29453028287459</v>
      </c>
      <c r="I950" s="0" t="n">
        <f aca="false">(($G$1^2*1000)/($E$1*$I$1))*(H950-1)</f>
        <v>6.10392189313334</v>
      </c>
      <c r="J950" s="0" t="n">
        <f aca="false">$J$3*EXP(-$E$1*B950*86.4/$G$1)</f>
        <v>68.8696177329972</v>
      </c>
      <c r="K950" s="0" t="n">
        <f aca="false">J949-J950</f>
        <v>0.194851078404298</v>
      </c>
    </row>
    <row r="951" customFormat="false" ht="12.8" hidden="false" customHeight="false" outlineLevel="0" collapsed="false">
      <c r="A951" s="0" t="n">
        <v>1</v>
      </c>
      <c r="B951" s="0" t="n">
        <f aca="false">B950+A951</f>
        <v>948</v>
      </c>
      <c r="C951" s="0" t="n">
        <f aca="false">$C$3+($G$1/($E$1*86.4))*SINH($E$1*B951*86.4/$G$1)</f>
        <v>47168.8072479386</v>
      </c>
      <c r="D951" s="0" t="n">
        <f aca="false">C951-$C$3-B951</f>
        <v>1616.80724793858</v>
      </c>
      <c r="E951" s="0" t="n">
        <f aca="false">$E$1*B951*86.4</f>
        <v>803509.632</v>
      </c>
      <c r="F951" s="0" t="n">
        <f aca="false">$G$1*G951</f>
        <v>297183.503989075</v>
      </c>
      <c r="G951" s="0" t="n">
        <f aca="false">TANH($E$1*B951*86.4/$G$1)</f>
        <v>0.990611679963584</v>
      </c>
      <c r="H951" s="0" t="n">
        <f aca="false">COSH($E$1*B951*86.4/$G$1)</f>
        <v>7.31497393784242</v>
      </c>
      <c r="I951" s="0" t="n">
        <f aca="false">(($G$1^2*1000)/($E$1*$I$1))*(H951-1)</f>
        <v>6.1237464817088</v>
      </c>
      <c r="J951" s="0" t="n">
        <f aca="false">$J$3*EXP(-$E$1*B951*86.4/$G$1)</f>
        <v>68.6753163865087</v>
      </c>
      <c r="K951" s="0" t="n">
        <f aca="false">J950-J951</f>
        <v>0.194301346488487</v>
      </c>
    </row>
    <row r="952" customFormat="false" ht="12.8" hidden="false" customHeight="false" outlineLevel="0" collapsed="false">
      <c r="A952" s="0" t="n">
        <v>1</v>
      </c>
      <c r="B952" s="0" t="n">
        <f aca="false">B951+A952</f>
        <v>949</v>
      </c>
      <c r="C952" s="0" t="n">
        <f aca="false">$C$3+($G$1/($E$1*86.4))*SINH($E$1*B952*86.4/$G$1)</f>
        <v>47176.1324680261</v>
      </c>
      <c r="D952" s="0" t="n">
        <f aca="false">C952-$C$3-B952</f>
        <v>1623.13246802612</v>
      </c>
      <c r="E952" s="0" t="n">
        <f aca="false">$E$1*B952*86.4</f>
        <v>804357.216</v>
      </c>
      <c r="F952" s="0" t="n">
        <f aca="false">$G$1*G952</f>
        <v>297199.299811581</v>
      </c>
      <c r="G952" s="0" t="n">
        <f aca="false">TANH($E$1*B952*86.4/$G$1)</f>
        <v>0.990664332705269</v>
      </c>
      <c r="H952" s="0" t="n">
        <f aca="false">COSH($E$1*B952*86.4/$G$1)</f>
        <v>7.33547598248584</v>
      </c>
      <c r="I952" s="0" t="n">
        <f aca="false">(($G$1^2*1000)/($E$1*$I$1))*(H952-1)</f>
        <v>6.1436276918276</v>
      </c>
      <c r="J952" s="0" t="n">
        <f aca="false">$J$3*EXP(-$E$1*B952*86.4/$G$1)</f>
        <v>68.4815632209814</v>
      </c>
      <c r="K952" s="0" t="n">
        <f aca="false">J951-J952</f>
        <v>0.193753165527241</v>
      </c>
    </row>
    <row r="953" customFormat="false" ht="12.8" hidden="false" customHeight="false" outlineLevel="0" collapsed="false">
      <c r="A953" s="0" t="n">
        <v>1</v>
      </c>
      <c r="B953" s="0" t="n">
        <f aca="false">B952+A953</f>
        <v>950</v>
      </c>
      <c r="C953" s="0" t="n">
        <f aca="false">$C$3+($G$1/($E$1*86.4))*SINH($E$1*B953*86.4/$G$1)</f>
        <v>47183.4782194213</v>
      </c>
      <c r="D953" s="0" t="n">
        <f aca="false">C953-$C$3-B953</f>
        <v>1629.47821942132</v>
      </c>
      <c r="E953" s="0" t="n">
        <f aca="false">$E$1*B953*86.4</f>
        <v>805204.8</v>
      </c>
      <c r="F953" s="0" t="n">
        <f aca="false">$G$1*G953</f>
        <v>297215.007459128</v>
      </c>
      <c r="G953" s="0" t="n">
        <f aca="false">TANH($E$1*B953*86.4/$G$1)</f>
        <v>0.990716691530428</v>
      </c>
      <c r="H953" s="0" t="n">
        <f aca="false">COSH($E$1*B953*86.4/$G$1)</f>
        <v>7.35603658045651</v>
      </c>
      <c r="I953" s="0" t="n">
        <f aca="false">(($G$1^2*1000)/($E$1*$I$1))*(H953-1)</f>
        <v>6.16356568218576</v>
      </c>
      <c r="J953" s="0" t="n">
        <f aca="false">$J$3*EXP(-$E$1*B953*86.4/$G$1)</f>
        <v>68.2883566898365</v>
      </c>
      <c r="K953" s="0" t="n">
        <f aca="false">J952-J953</f>
        <v>0.193206531144952</v>
      </c>
    </row>
    <row r="954" customFormat="false" ht="12.8" hidden="false" customHeight="false" outlineLevel="0" collapsed="false">
      <c r="A954" s="0" t="n">
        <v>1</v>
      </c>
      <c r="B954" s="0" t="n">
        <f aca="false">B953+A954</f>
        <v>951</v>
      </c>
      <c r="C954" s="0" t="n">
        <f aca="false">$C$3+($G$1/($E$1*86.4))*SINH($E$1*B954*86.4/$G$1)</f>
        <v>47190.8445607595</v>
      </c>
      <c r="D954" s="0" t="n">
        <f aca="false">C954-$C$3-B954</f>
        <v>1635.84456075952</v>
      </c>
      <c r="E954" s="0" t="n">
        <f aca="false">$E$1*B954*86.4</f>
        <v>806052.384</v>
      </c>
      <c r="F954" s="0" t="n">
        <f aca="false">$G$1*G954</f>
        <v>297230.627419305</v>
      </c>
      <c r="G954" s="0" t="n">
        <f aca="false">TANH($E$1*B954*86.4/$G$1)</f>
        <v>0.990768758064349</v>
      </c>
      <c r="H954" s="0" t="n">
        <f aca="false">COSH($E$1*B954*86.4/$G$1)</f>
        <v>7.37665589587351</v>
      </c>
      <c r="I954" s="0" t="n">
        <f aca="false">(($G$1^2*1000)/($E$1*$I$1))*(H954-1)</f>
        <v>6.18356061193257</v>
      </c>
      <c r="J954" s="0" t="n">
        <f aca="false">$J$3*EXP(-$E$1*B954*86.4/$G$1)</f>
        <v>68.0956952508582</v>
      </c>
      <c r="K954" s="0" t="n">
        <f aca="false">J953-J954</f>
        <v>0.192661438978263</v>
      </c>
    </row>
    <row r="955" customFormat="false" ht="12.8" hidden="false" customHeight="false" outlineLevel="0" collapsed="false">
      <c r="A955" s="0" t="n">
        <v>1</v>
      </c>
      <c r="B955" s="0" t="n">
        <f aca="false">B954+A955</f>
        <v>952</v>
      </c>
      <c r="C955" s="0" t="n">
        <f aca="false">$C$3+($G$1/($E$1*86.4))*SINH($E$1*B955*86.4/$G$1)</f>
        <v>47198.2315508404</v>
      </c>
      <c r="D955" s="0" t="n">
        <f aca="false">C955-$C$3-B955</f>
        <v>1642.23155084041</v>
      </c>
      <c r="E955" s="0" t="n">
        <f aca="false">$E$1*B955*86.4</f>
        <v>806899.968</v>
      </c>
      <c r="F955" s="0" t="n">
        <f aca="false">$G$1*G955</f>
        <v>297246.160177051</v>
      </c>
      <c r="G955" s="0" t="n">
        <f aca="false">TANH($E$1*B955*86.4/$G$1)</f>
        <v>0.990820533923504</v>
      </c>
      <c r="H955" s="0" t="n">
        <f aca="false">COSH($E$1*B955*86.4/$G$1)</f>
        <v>7.39733409332458</v>
      </c>
      <c r="I955" s="0" t="n">
        <f aca="false">(($G$1^2*1000)/($E$1*$I$1))*(H955-1)</f>
        <v>6.20361264067179</v>
      </c>
      <c r="J955" s="0" t="n">
        <f aca="false">$J$3*EXP(-$E$1*B955*86.4/$G$1)</f>
        <v>67.9035773661822</v>
      </c>
      <c r="K955" s="0" t="n">
        <f aca="false">J954-J955</f>
        <v>0.192117884676009</v>
      </c>
    </row>
    <row r="956" customFormat="false" ht="12.8" hidden="false" customHeight="false" outlineLevel="0" collapsed="false">
      <c r="A956" s="0" t="n">
        <v>1</v>
      </c>
      <c r="B956" s="0" t="n">
        <f aca="false">B955+A956</f>
        <v>953</v>
      </c>
      <c r="C956" s="0" t="n">
        <f aca="false">$C$3+($G$1/($E$1*86.4))*SINH($E$1*B956*86.4/$G$1)</f>
        <v>47205.6392486285</v>
      </c>
      <c r="D956" s="0" t="n">
        <f aca="false">C956-$C$3-B956</f>
        <v>1648.63924862853</v>
      </c>
      <c r="E956" s="0" t="n">
        <f aca="false">$E$1*B956*86.4</f>
        <v>807747.552</v>
      </c>
      <c r="F956" s="0" t="n">
        <f aca="false">$G$1*G956</f>
        <v>297261.606214679</v>
      </c>
      <c r="G956" s="0" t="n">
        <f aca="false">TANH($E$1*B956*86.4/$G$1)</f>
        <v>0.990872020715596</v>
      </c>
      <c r="H956" s="0" t="n">
        <f aca="false">COSH($E$1*B956*86.4/$G$1)</f>
        <v>7.41807133786748</v>
      </c>
      <c r="I956" s="0" t="n">
        <f aca="false">(($G$1^2*1000)/($E$1*$I$1))*(H956-1)</f>
        <v>6.22372192846298</v>
      </c>
      <c r="J956" s="0" t="n">
        <f aca="false">$J$3*EXP(-$E$1*B956*86.4/$G$1)</f>
        <v>67.7120015022827</v>
      </c>
      <c r="K956" s="0" t="n">
        <f aca="false">J955-J956</f>
        <v>0.191575863899558</v>
      </c>
    </row>
    <row r="957" customFormat="false" ht="12.8" hidden="false" customHeight="false" outlineLevel="0" collapsed="false">
      <c r="A957" s="0" t="n">
        <v>1</v>
      </c>
      <c r="B957" s="0" t="n">
        <f aca="false">B956+A957</f>
        <v>954</v>
      </c>
      <c r="C957" s="0" t="n">
        <f aca="false">$C$3+($G$1/($E$1*86.4))*SINH($E$1*B957*86.4/$G$1)</f>
        <v>47213.0677132537</v>
      </c>
      <c r="D957" s="0" t="n">
        <f aca="false">C957-$C$3-B957</f>
        <v>1655.06771325368</v>
      </c>
      <c r="E957" s="0" t="n">
        <f aca="false">$E$1*B957*86.4</f>
        <v>808595.136</v>
      </c>
      <c r="F957" s="0" t="n">
        <f aca="false">$G$1*G957</f>
        <v>297276.966011882</v>
      </c>
      <c r="G957" s="0" t="n">
        <f aca="false">TANH($E$1*B957*86.4/$G$1)</f>
        <v>0.990923220039606</v>
      </c>
      <c r="H957" s="0" t="n">
        <f aca="false">COSH($E$1*B957*86.4/$G$1)</f>
        <v>7.43886779503132</v>
      </c>
      <c r="I957" s="0" t="n">
        <f aca="false">(($G$1^2*1000)/($E$1*$I$1))*(H957-1)</f>
        <v>6.24388863582275</v>
      </c>
      <c r="J957" s="0" t="n">
        <f aca="false">$J$3*EXP(-$E$1*B957*86.4/$G$1)</f>
        <v>67.5209661299603</v>
      </c>
      <c r="K957" s="0" t="n">
        <f aca="false">J956-J957</f>
        <v>0.191035372322375</v>
      </c>
    </row>
    <row r="958" customFormat="false" ht="12.8" hidden="false" customHeight="false" outlineLevel="0" collapsed="false">
      <c r="A958" s="0" t="n">
        <v>1</v>
      </c>
      <c r="B958" s="0" t="n">
        <f aca="false">B957+A958</f>
        <v>955</v>
      </c>
      <c r="C958" s="0" t="n">
        <f aca="false">$C$3+($G$1/($E$1*86.4))*SINH($E$1*B958*86.4/$G$1)</f>
        <v>47220.5170040115</v>
      </c>
      <c r="D958" s="0" t="n">
        <f aca="false">C958-$C$3-B958</f>
        <v>1661.51700401145</v>
      </c>
      <c r="E958" s="0" t="n">
        <f aca="false">$E$1*B958*86.4</f>
        <v>809442.72</v>
      </c>
      <c r="F958" s="0" t="n">
        <f aca="false">$G$1*G958</f>
        <v>297292.24004575</v>
      </c>
      <c r="G958" s="0" t="n">
        <f aca="false">TANH($E$1*B958*86.4/$G$1)</f>
        <v>0.990974133485834</v>
      </c>
      <c r="H958" s="0" t="n">
        <f aca="false">COSH($E$1*B958*86.4/$G$1)</f>
        <v>7.45972363081782</v>
      </c>
      <c r="I958" s="0" t="n">
        <f aca="false">(($G$1^2*1000)/($E$1*$I$1))*(H958-1)</f>
        <v>6.26411292372604</v>
      </c>
      <c r="J958" s="0" t="n">
        <f aca="false">$J$3*EXP(-$E$1*B958*86.4/$G$1)</f>
        <v>67.3304697243302</v>
      </c>
      <c r="K958" s="0" t="n">
        <f aca="false">J957-J958</f>
        <v>0.190496405630086</v>
      </c>
    </row>
    <row r="959" customFormat="false" ht="12.8" hidden="false" customHeight="false" outlineLevel="0" collapsed="false">
      <c r="A959" s="0" t="n">
        <v>1</v>
      </c>
      <c r="B959" s="0" t="n">
        <f aca="false">B958+A959</f>
        <v>956</v>
      </c>
      <c r="C959" s="0" t="n">
        <f aca="false">$C$3+($G$1/($E$1*86.4))*SINH($E$1*B959*86.4/$G$1)</f>
        <v>47227.9871803637</v>
      </c>
      <c r="D959" s="0" t="n">
        <f aca="false">C959-$C$3-B959</f>
        <v>1667.98718036368</v>
      </c>
      <c r="E959" s="0" t="n">
        <f aca="false">$E$1*B959*86.4</f>
        <v>810290.304</v>
      </c>
      <c r="F959" s="0" t="n">
        <f aca="false">$G$1*G959</f>
        <v>297307.428790785</v>
      </c>
      <c r="G959" s="0" t="n">
        <f aca="false">TANH($E$1*B959*86.4/$G$1)</f>
        <v>0.991024762635949</v>
      </c>
      <c r="H959" s="0" t="n">
        <f aca="false">COSH($E$1*B959*86.4/$G$1)</f>
        <v>7.48063901170269</v>
      </c>
      <c r="I959" s="0" t="n">
        <f aca="false">(($G$1^2*1000)/($E$1*$I$1))*(H959-1)</f>
        <v>6.2843949536074</v>
      </c>
      <c r="J959" s="0" t="n">
        <f aca="false">$J$3*EXP(-$E$1*B959*86.4/$G$1)</f>
        <v>67.1405107648097</v>
      </c>
      <c r="K959" s="0" t="n">
        <f aca="false">J958-J959</f>
        <v>0.189958959520538</v>
      </c>
    </row>
    <row r="960" customFormat="false" ht="12.8" hidden="false" customHeight="false" outlineLevel="0" collapsed="false">
      <c r="A960" s="0" t="n">
        <v>1</v>
      </c>
      <c r="B960" s="0" t="n">
        <f aca="false">B959+A960</f>
        <v>957</v>
      </c>
      <c r="C960" s="0" t="n">
        <f aca="false">$C$3+($G$1/($E$1*86.4))*SINH($E$1*B960*86.4/$G$1)</f>
        <v>47235.4783019389</v>
      </c>
      <c r="D960" s="0" t="n">
        <f aca="false">C960-$C$3-B960</f>
        <v>1674.47830193887</v>
      </c>
      <c r="E960" s="0" t="n">
        <f aca="false">$E$1*B960*86.4</f>
        <v>811137.888</v>
      </c>
      <c r="F960" s="0" t="n">
        <f aca="false">$G$1*G960</f>
        <v>297322.53271891</v>
      </c>
      <c r="G960" s="0" t="n">
        <f aca="false">TANH($E$1*B960*86.4/$G$1)</f>
        <v>0.991075109063032</v>
      </c>
      <c r="H960" s="0" t="n">
        <f aca="false">COSH($E$1*B960*86.4/$G$1)</f>
        <v>7.50161410463696</v>
      </c>
      <c r="I960" s="0" t="n">
        <f aca="false">(($G$1^2*1000)/($E$1*$I$1))*(H960-1)</f>
        <v>6.30473488736232</v>
      </c>
      <c r="J960" s="0" t="n">
        <f aca="false">$J$3*EXP(-$E$1*B960*86.4/$G$1)</f>
        <v>66.9510877351059</v>
      </c>
      <c r="K960" s="0" t="n">
        <f aca="false">J959-J960</f>
        <v>0.189423029703761</v>
      </c>
    </row>
    <row r="961" customFormat="false" ht="12.8" hidden="false" customHeight="false" outlineLevel="0" collapsed="false">
      <c r="A961" s="0" t="n">
        <v>1</v>
      </c>
      <c r="B961" s="0" t="n">
        <f aca="false">B960+A961</f>
        <v>958</v>
      </c>
      <c r="C961" s="0" t="n">
        <f aca="false">$C$3+($G$1/($E$1*86.4))*SINH($E$1*B961*86.4/$G$1)</f>
        <v>47242.9904285328</v>
      </c>
      <c r="D961" s="0" t="n">
        <f aca="false">C961-$C$3-B961</f>
        <v>1680.99042853277</v>
      </c>
      <c r="E961" s="0" t="n">
        <f aca="false">$E$1*B961*86.4</f>
        <v>811985.472</v>
      </c>
      <c r="F961" s="0" t="n">
        <f aca="false">$G$1*G961</f>
        <v>297337.552299486</v>
      </c>
      <c r="G961" s="0" t="n">
        <f aca="false">TANH($E$1*B961*86.4/$G$1)</f>
        <v>0.99112517433162</v>
      </c>
      <c r="H961" s="0" t="n">
        <f aca="false">COSH($E$1*B961*86.4/$G$1)</f>
        <v>7.52264907704827</v>
      </c>
      <c r="I961" s="0" t="n">
        <f aca="false">(($G$1^2*1000)/($E$1*$I$1))*(H961-1)</f>
        <v>6.32513288734846</v>
      </c>
      <c r="J961" s="0" t="n">
        <f aca="false">$J$3*EXP(-$E$1*B961*86.4/$G$1)</f>
        <v>66.762199123204</v>
      </c>
      <c r="K961" s="0" t="n">
        <f aca="false">J960-J961</f>
        <v>0.188888611901916</v>
      </c>
    </row>
    <row r="962" customFormat="false" ht="12.8" hidden="false" customHeight="false" outlineLevel="0" collapsed="false">
      <c r="A962" s="0" t="n">
        <v>1</v>
      </c>
      <c r="B962" s="0" t="n">
        <f aca="false">B961+A962</f>
        <v>959</v>
      </c>
      <c r="C962" s="0" t="n">
        <f aca="false">$C$3+($G$1/($E$1*86.4))*SINH($E$1*B962*86.4/$G$1)</f>
        <v>47250.5236201088</v>
      </c>
      <c r="D962" s="0" t="n">
        <f aca="false">C962-$C$3-B962</f>
        <v>1687.52362010875</v>
      </c>
      <c r="E962" s="0" t="n">
        <f aca="false">$E$1*B962*86.4</f>
        <v>812833.056</v>
      </c>
      <c r="F962" s="0" t="n">
        <f aca="false">$G$1*G962</f>
        <v>297352.487999326</v>
      </c>
      <c r="G962" s="0" t="n">
        <f aca="false">TANH($E$1*B962*86.4/$G$1)</f>
        <v>0.991174959997752</v>
      </c>
      <c r="H962" s="0" t="n">
        <f aca="false">COSH($E$1*B962*86.4/$G$1)</f>
        <v>7.54374409684223</v>
      </c>
      <c r="I962" s="0" t="n">
        <f aca="false">(($G$1^2*1000)/($E$1*$I$1))*(H962-1)</f>
        <v>6.34558911638699</v>
      </c>
      <c r="J962" s="0" t="n">
        <f aca="false">$J$3*EXP(-$E$1*B962*86.4/$G$1)</f>
        <v>66.573843421355</v>
      </c>
      <c r="K962" s="0" t="n">
        <f aca="false">J961-J962</f>
        <v>0.188355701848963</v>
      </c>
    </row>
    <row r="963" customFormat="false" ht="12.8" hidden="false" customHeight="false" outlineLevel="0" collapsed="false">
      <c r="A963" s="0" t="n">
        <v>1</v>
      </c>
      <c r="B963" s="0" t="n">
        <f aca="false">B962+A963</f>
        <v>960</v>
      </c>
      <c r="C963" s="0" t="n">
        <f aca="false">$C$3+($G$1/($E$1*86.4))*SINH($E$1*B963*86.4/$G$1)</f>
        <v>47258.0779367984</v>
      </c>
      <c r="D963" s="0" t="n">
        <f aca="false">C963-$C$3-B963</f>
        <v>1694.07793679837</v>
      </c>
      <c r="E963" s="0" t="n">
        <f aca="false">$E$1*B963*86.4</f>
        <v>813680.64</v>
      </c>
      <c r="F963" s="0" t="n">
        <f aca="false">$G$1*G963</f>
        <v>297367.340282704</v>
      </c>
      <c r="G963" s="0" t="n">
        <f aca="false">TANH($E$1*B963*86.4/$G$1)</f>
        <v>0.991224467609013</v>
      </c>
      <c r="H963" s="0" t="n">
        <f aca="false">COSH($E$1*B963*86.4/$G$1)</f>
        <v>7.56489933240377</v>
      </c>
      <c r="I963" s="0" t="n">
        <f aca="false">(($G$1^2*1000)/($E$1*$I$1))*(H963-1)</f>
        <v>6.36610373776387</v>
      </c>
      <c r="J963" s="0" t="n">
        <f aca="false">$J$3*EXP(-$E$1*B963*86.4/$G$1)</f>
        <v>66.3860191260637</v>
      </c>
      <c r="K963" s="0" t="n">
        <f aca="false">J962-J963</f>
        <v>0.187824295291307</v>
      </c>
    </row>
    <row r="964" customFormat="false" ht="12.8" hidden="false" customHeight="false" outlineLevel="0" collapsed="false">
      <c r="A964" s="0" t="n">
        <v>1</v>
      </c>
      <c r="B964" s="0" t="n">
        <f aca="false">B963+A964</f>
        <v>961</v>
      </c>
      <c r="C964" s="0" t="n">
        <f aca="false">$C$3+($G$1/($E$1*86.4))*SINH($E$1*B964*86.4/$G$1)</f>
        <v>47265.6534389018</v>
      </c>
      <c r="D964" s="0" t="n">
        <f aca="false">C964-$C$3-B964</f>
        <v>1700.65343890177</v>
      </c>
      <c r="E964" s="0" t="n">
        <f aca="false">$E$1*B964*86.4</f>
        <v>814528.224</v>
      </c>
      <c r="F964" s="0" t="n">
        <f aca="false">$G$1*G964</f>
        <v>297382.109611374</v>
      </c>
      <c r="G964" s="0" t="n">
        <f aca="false">TANH($E$1*B964*86.4/$G$1)</f>
        <v>0.991273698704579</v>
      </c>
      <c r="H964" s="0" t="n">
        <f aca="false">COSH($E$1*B964*86.4/$G$1)</f>
        <v>7.58611495259847</v>
      </c>
      <c r="I964" s="0" t="n">
        <f aca="false">(($G$1^2*1000)/($E$1*$I$1))*(H964-1)</f>
        <v>6.38667691523116</v>
      </c>
      <c r="J964" s="0" t="n">
        <f aca="false">$J$3*EXP(-$E$1*B964*86.4/$G$1)</f>
        <v>66.1987247380767</v>
      </c>
      <c r="K964" s="0" t="n">
        <f aca="false">J963-J964</f>
        <v>0.187294387987023</v>
      </c>
    </row>
    <row r="965" customFormat="false" ht="12.8" hidden="false" customHeight="false" outlineLevel="0" collapsed="false">
      <c r="A965" s="0" t="n">
        <v>1</v>
      </c>
      <c r="B965" s="0" t="n">
        <f aca="false">B964+A965</f>
        <v>962</v>
      </c>
      <c r="C965" s="0" t="n">
        <f aca="false">$C$3+($G$1/($E$1*86.4))*SINH($E$1*B965*86.4/$G$1)</f>
        <v>47273.2501868882</v>
      </c>
      <c r="D965" s="0" t="n">
        <f aca="false">C965-$C$3-B965</f>
        <v>1707.25018688822</v>
      </c>
      <c r="E965" s="0" t="n">
        <f aca="false">$E$1*B965*86.4</f>
        <v>815375.808</v>
      </c>
      <c r="F965" s="0" t="n">
        <f aca="false">$G$1*G965</f>
        <v>297396.796444577</v>
      </c>
      <c r="G965" s="0" t="n">
        <f aca="false">TANH($E$1*B965*86.4/$G$1)</f>
        <v>0.991322654815257</v>
      </c>
      <c r="H965" s="0" t="n">
        <f aca="false">COSH($E$1*B965*86.4/$G$1)</f>
        <v>7.60739112677393</v>
      </c>
      <c r="I965" s="0" t="n">
        <f aca="false">(($G$1^2*1000)/($E$1*$I$1))*(H965-1)</f>
        <v>6.40730881300836</v>
      </c>
      <c r="J965" s="0" t="n">
        <f aca="false">$J$3*EXP(-$E$1*B965*86.4/$G$1)</f>
        <v>66.0119587623703</v>
      </c>
      <c r="K965" s="0" t="n">
        <f aca="false">J964-J965</f>
        <v>0.186765975706393</v>
      </c>
    </row>
    <row r="966" customFormat="false" ht="12.8" hidden="false" customHeight="false" outlineLevel="0" collapsed="false">
      <c r="A966" s="0" t="n">
        <v>1</v>
      </c>
      <c r="B966" s="0" t="n">
        <f aca="false">B965+A966</f>
        <v>963</v>
      </c>
      <c r="C966" s="0" t="n">
        <f aca="false">$C$3+($G$1/($E$1*86.4))*SINH($E$1*B966*86.4/$G$1)</f>
        <v>47280.8682413966</v>
      </c>
      <c r="D966" s="0" t="n">
        <f aca="false">C966-$C$3-B966</f>
        <v>1713.86824139659</v>
      </c>
      <c r="E966" s="0" t="n">
        <f aca="false">$E$1*B966*86.4</f>
        <v>816223.392</v>
      </c>
      <c r="F966" s="0" t="n">
        <f aca="false">$G$1*G966</f>
        <v>297411.40123906</v>
      </c>
      <c r="G966" s="0" t="n">
        <f aca="false">TANH($E$1*B966*86.4/$G$1)</f>
        <v>0.991371337463535</v>
      </c>
      <c r="H966" s="0" t="n">
        <f aca="false">COSH($E$1*B966*86.4/$G$1)</f>
        <v>7.62872802476108</v>
      </c>
      <c r="I966" s="0" t="n">
        <f aca="false">(($G$1^2*1000)/($E$1*$I$1))*(H966-1)</f>
        <v>6.42799959578363</v>
      </c>
      <c r="J966" s="0" t="n">
        <f aca="false">$J$3*EXP(-$E$1*B966*86.4/$G$1)</f>
        <v>65.8257197081389</v>
      </c>
      <c r="K966" s="0" t="n">
        <f aca="false">J965-J966</f>
        <v>0.186239054231351</v>
      </c>
    </row>
    <row r="967" customFormat="false" ht="12.8" hidden="false" customHeight="false" outlineLevel="0" collapsed="false">
      <c r="A967" s="0" t="n">
        <v>1</v>
      </c>
      <c r="B967" s="0" t="n">
        <f aca="false">B966+A967</f>
        <v>964</v>
      </c>
      <c r="C967" s="0" t="n">
        <f aca="false">$C$3+($G$1/($E$1*86.4))*SINH($E$1*B967*86.4/$G$1)</f>
        <v>47288.5076632358</v>
      </c>
      <c r="D967" s="0" t="n">
        <f aca="false">C967-$C$3-B967</f>
        <v>1720.50766323578</v>
      </c>
      <c r="E967" s="0" t="n">
        <f aca="false">$E$1*B967*86.4</f>
        <v>817070.976</v>
      </c>
      <c r="F967" s="0" t="n">
        <f aca="false">$G$1*G967</f>
        <v>297425.924449086</v>
      </c>
      <c r="G967" s="0" t="n">
        <f aca="false">TANH($E$1*B967*86.4/$G$1)</f>
        <v>0.99141974816362</v>
      </c>
      <c r="H967" s="0" t="n">
        <f aca="false">COSH($E$1*B967*86.4/$G$1)</f>
        <v>7.65012581687557</v>
      </c>
      <c r="I967" s="0" t="n">
        <f aca="false">(($G$1^2*1000)/($E$1*$I$1))*(H967-1)</f>
        <v>6.4487494287152</v>
      </c>
      <c r="J967" s="0" t="n">
        <f aca="false">$J$3*EXP(-$E$1*B967*86.4/$G$1)</f>
        <v>65.6400060887829</v>
      </c>
      <c r="K967" s="0" t="n">
        <f aca="false">J966-J967</f>
        <v>0.185713619356051</v>
      </c>
    </row>
    <row r="968" customFormat="false" ht="12.8" hidden="false" customHeight="false" outlineLevel="0" collapsed="false">
      <c r="A968" s="0" t="n">
        <v>1</v>
      </c>
      <c r="B968" s="0" t="n">
        <f aca="false">B967+A968</f>
        <v>965</v>
      </c>
      <c r="C968" s="0" t="n">
        <f aca="false">$C$3+($G$1/($E$1*86.4))*SINH($E$1*B968*86.4/$G$1)</f>
        <v>47296.1685133853</v>
      </c>
      <c r="D968" s="0" t="n">
        <f aca="false">C968-$C$3-B968</f>
        <v>1727.1685133853</v>
      </c>
      <c r="E968" s="0" t="n">
        <f aca="false">$E$1*B968*86.4</f>
        <v>817918.56</v>
      </c>
      <c r="F968" s="0" t="n">
        <f aca="false">$G$1*G968</f>
        <v>297440.366526446</v>
      </c>
      <c r="G968" s="0" t="n">
        <f aca="false">TANH($E$1*B968*86.4/$G$1)</f>
        <v>0.991467888421486</v>
      </c>
      <c r="H968" s="0" t="n">
        <f aca="false">COSH($E$1*B968*86.4/$G$1)</f>
        <v>7.67158467391913</v>
      </c>
      <c r="I968" s="0" t="n">
        <f aca="false">(($G$1^2*1000)/($E$1*$I$1))*(H968-1)</f>
        <v>6.46955847743265</v>
      </c>
      <c r="J968" s="0" t="n">
        <f aca="false">$J$3*EXP(-$E$1*B968*86.4/$G$1)</f>
        <v>65.4548164218966</v>
      </c>
      <c r="K968" s="0" t="n">
        <f aca="false">J967-J968</f>
        <v>0.18518966688633</v>
      </c>
    </row>
    <row r="969" customFormat="false" ht="12.8" hidden="false" customHeight="false" outlineLevel="0" collapsed="false">
      <c r="A969" s="0" t="n">
        <v>1</v>
      </c>
      <c r="B969" s="0" t="n">
        <f aca="false">B968+A969</f>
        <v>966</v>
      </c>
      <c r="C969" s="0" t="n">
        <f aca="false">$C$3+($G$1/($E$1*86.4))*SINH($E$1*B969*86.4/$G$1)</f>
        <v>47303.8508529957</v>
      </c>
      <c r="D969" s="0" t="n">
        <f aca="false">C969-$C$3-B969</f>
        <v>1733.85085299569</v>
      </c>
      <c r="E969" s="0" t="n">
        <f aca="false">$E$1*B969*86.4</f>
        <v>818766.144</v>
      </c>
      <c r="F969" s="0" t="n">
        <f aca="false">$G$1*G969</f>
        <v>297454.727920474</v>
      </c>
      <c r="G969" s="0" t="n">
        <f aca="false">TANH($E$1*B969*86.4/$G$1)</f>
        <v>0.991515759734912</v>
      </c>
      <c r="H969" s="0" t="n">
        <f aca="false">COSH($E$1*B969*86.4/$G$1)</f>
        <v>7.69310476718092</v>
      </c>
      <c r="I969" s="0" t="n">
        <f aca="false">(($G$1^2*1000)/($E$1*$I$1))*(H969-1)</f>
        <v>6.49042690803822</v>
      </c>
      <c r="J969" s="0" t="n">
        <f aca="false">$J$3*EXP(-$E$1*B969*86.4/$G$1)</f>
        <v>65.2701492292568</v>
      </c>
      <c r="K969" s="0" t="n">
        <f aca="false">J968-J969</f>
        <v>0.184667192639807</v>
      </c>
    </row>
    <row r="970" customFormat="false" ht="12.8" hidden="false" customHeight="false" outlineLevel="0" collapsed="false">
      <c r="A970" s="0" t="n">
        <v>1</v>
      </c>
      <c r="B970" s="0" t="n">
        <f aca="false">B969+A970</f>
        <v>967</v>
      </c>
      <c r="C970" s="0" t="n">
        <f aca="false">$C$3+($G$1/($E$1*86.4))*SINH($E$1*B970*86.4/$G$1)</f>
        <v>47311.554743389</v>
      </c>
      <c r="D970" s="0" t="n">
        <f aca="false">C970-$C$3-B970</f>
        <v>1740.554743389</v>
      </c>
      <c r="E970" s="0" t="n">
        <f aca="false">$E$1*B970*86.4</f>
        <v>819613.728</v>
      </c>
      <c r="F970" s="0" t="n">
        <f aca="false">$G$1*G970</f>
        <v>297469.009078059</v>
      </c>
      <c r="G970" s="0" t="n">
        <f aca="false">TANH($E$1*B970*86.4/$G$1)</f>
        <v>0.991563363593529</v>
      </c>
      <c r="H970" s="0" t="n">
        <f aca="false">COSH($E$1*B970*86.4/$G$1)</f>
        <v>7.71468626843887</v>
      </c>
      <c r="I970" s="0" t="n">
        <f aca="false">(($G$1^2*1000)/($E$1*$I$1))*(H970-1)</f>
        <v>6.51135488710817</v>
      </c>
      <c r="J970" s="0" t="n">
        <f aca="false">$J$3*EXP(-$E$1*B970*86.4/$G$1)</f>
        <v>65.0860030368107</v>
      </c>
      <c r="K970" s="0" t="n">
        <f aca="false">J969-J970</f>
        <v>0.184146192446093</v>
      </c>
    </row>
    <row r="971" customFormat="false" ht="12.8" hidden="false" customHeight="false" outlineLevel="0" collapsed="false">
      <c r="A971" s="0" t="n">
        <v>1</v>
      </c>
      <c r="B971" s="0" t="n">
        <f aca="false">B970+A971</f>
        <v>968</v>
      </c>
      <c r="C971" s="0" t="n">
        <f aca="false">$C$3+($G$1/($E$1*86.4))*SINH($E$1*B971*86.4/$G$1)</f>
        <v>47319.2802460593</v>
      </c>
      <c r="D971" s="0" t="n">
        <f aca="false">C971-$C$3-B971</f>
        <v>1747.28024605932</v>
      </c>
      <c r="E971" s="0" t="n">
        <f aca="false">$E$1*B971*86.4</f>
        <v>820461.312</v>
      </c>
      <c r="F971" s="0" t="n">
        <f aca="false">$G$1*G971</f>
        <v>297483.210443659</v>
      </c>
      <c r="G971" s="0" t="n">
        <f aca="false">TANH($E$1*B971*86.4/$G$1)</f>
        <v>0.991610701478862</v>
      </c>
      <c r="H971" s="0" t="n">
        <f aca="false">COSH($E$1*B971*86.4/$G$1)</f>
        <v>7.73632934996113</v>
      </c>
      <c r="I971" s="0" t="n">
        <f aca="false">(($G$1^2*1000)/($E$1*$I$1))*(H971-1)</f>
        <v>6.53234258169405</v>
      </c>
      <c r="J971" s="0" t="n">
        <f aca="false">$J$3*EXP(-$E$1*B971*86.4/$G$1)</f>
        <v>64.9023763746643</v>
      </c>
      <c r="K971" s="0" t="n">
        <f aca="false">J970-J971</f>
        <v>0.18362666214631</v>
      </c>
    </row>
    <row r="972" customFormat="false" ht="12.8" hidden="false" customHeight="false" outlineLevel="0" collapsed="false">
      <c r="A972" s="0" t="n">
        <v>1</v>
      </c>
      <c r="B972" s="0" t="n">
        <f aca="false">B971+A972</f>
        <v>969</v>
      </c>
      <c r="C972" s="0" t="n">
        <f aca="false">$C$3+($G$1/($E$1*86.4))*SINH($E$1*B972*86.4/$G$1)</f>
        <v>47327.0274226733</v>
      </c>
      <c r="D972" s="0" t="n">
        <f aca="false">C972-$C$3-B972</f>
        <v>1754.02742267325</v>
      </c>
      <c r="E972" s="0" t="n">
        <f aca="false">$E$1*B972*86.4</f>
        <v>821308.896</v>
      </c>
      <c r="F972" s="0" t="n">
        <f aca="false">$G$1*G972</f>
        <v>297497.332459311</v>
      </c>
      <c r="G972" s="0" t="n">
        <f aca="false">TANH($E$1*B972*86.4/$G$1)</f>
        <v>0.991657774864371</v>
      </c>
      <c r="H972" s="0" t="n">
        <f aca="false">COSH($E$1*B972*86.4/$G$1)</f>
        <v>7.75803418450736</v>
      </c>
      <c r="I972" s="0" t="n">
        <f aca="false">(($G$1^2*1000)/($E$1*$I$1))*(H972-1)</f>
        <v>6.55339015932411</v>
      </c>
      <c r="J972" s="0" t="n">
        <f aca="false">$J$3*EXP(-$E$1*B972*86.4/$G$1)</f>
        <v>64.7192677770707</v>
      </c>
      <c r="K972" s="0" t="n">
        <f aca="false">J971-J972</f>
        <v>0.183108597593645</v>
      </c>
    </row>
    <row r="973" customFormat="false" ht="12.8" hidden="false" customHeight="false" outlineLevel="0" collapsed="false">
      <c r="A973" s="0" t="n">
        <v>1</v>
      </c>
      <c r="B973" s="0" t="n">
        <f aca="false">B972+A973</f>
        <v>970</v>
      </c>
      <c r="C973" s="0" t="n">
        <f aca="false">$C$3+($G$1/($E$1*86.4))*SINH($E$1*B973*86.4/$G$1)</f>
        <v>47334.7963350704</v>
      </c>
      <c r="D973" s="0" t="n">
        <f aca="false">C973-$C$3-B973</f>
        <v>1760.79633507042</v>
      </c>
      <c r="E973" s="0" t="n">
        <f aca="false">$E$1*B973*86.4</f>
        <v>822156.48</v>
      </c>
      <c r="F973" s="0" t="n">
        <f aca="false">$G$1*G973</f>
        <v>297511.375564648</v>
      </c>
      <c r="G973" s="0" t="n">
        <f aca="false">TANH($E$1*B973*86.4/$G$1)</f>
        <v>0.991704585215492</v>
      </c>
      <c r="H973" s="0" t="n">
        <f aca="false">COSH($E$1*B973*86.4/$G$1)</f>
        <v>7.77980094533016</v>
      </c>
      <c r="I973" s="0" t="n">
        <f aca="false">(($G$1^2*1000)/($E$1*$I$1))*(H973-1)</f>
        <v>6.57449778800459</v>
      </c>
      <c r="J973" s="0" t="n">
        <f aca="false">$J$3*EXP(-$E$1*B973*86.4/$G$1)</f>
        <v>64.5366757824181</v>
      </c>
      <c r="K973" s="0" t="n">
        <f aca="false">J972-J973</f>
        <v>0.182591994652611</v>
      </c>
    </row>
    <row r="974" customFormat="false" ht="12.8" hidden="false" customHeight="false" outlineLevel="0" collapsed="false">
      <c r="A974" s="0" t="n">
        <v>1</v>
      </c>
      <c r="B974" s="0" t="n">
        <f aca="false">B973+A974</f>
        <v>971</v>
      </c>
      <c r="C974" s="0" t="n">
        <f aca="false">$C$3+($G$1/($E$1*86.4))*SINH($E$1*B974*86.4/$G$1)</f>
        <v>47342.5870452639</v>
      </c>
      <c r="D974" s="0" t="n">
        <f aca="false">C974-$C$3-B974</f>
        <v>1767.58704526391</v>
      </c>
      <c r="E974" s="0" t="n">
        <f aca="false">$E$1*B974*86.4</f>
        <v>823004.064</v>
      </c>
      <c r="F974" s="0" t="n">
        <f aca="false">$G$1*G974</f>
        <v>297525.340196906</v>
      </c>
      <c r="G974" s="0" t="n">
        <f aca="false">TANH($E$1*B974*86.4/$G$1)</f>
        <v>0.991751133989686</v>
      </c>
      <c r="H974" s="0" t="n">
        <f aca="false">COSH($E$1*B974*86.4/$G$1)</f>
        <v>7.80162980617645</v>
      </c>
      <c r="I974" s="0" t="n">
        <f aca="false">(($G$1^2*1000)/($E$1*$I$1))*(H974-1)</f>
        <v>6.59566563622105</v>
      </c>
      <c r="J974" s="0" t="n">
        <f aca="false">$J$3*EXP(-$E$1*B974*86.4/$G$1)</f>
        <v>64.3545989332184</v>
      </c>
      <c r="K974" s="0" t="n">
        <f aca="false">J973-J974</f>
        <v>0.182076849199717</v>
      </c>
    </row>
    <row r="975" customFormat="false" ht="12.8" hidden="false" customHeight="false" outlineLevel="0" collapsed="false">
      <c r="A975" s="0" t="n">
        <v>1</v>
      </c>
      <c r="B975" s="0" t="n">
        <f aca="false">B974+A975</f>
        <v>972</v>
      </c>
      <c r="C975" s="0" t="n">
        <f aca="false">$C$3+($G$1/($E$1*86.4))*SINH($E$1*B975*86.4/$G$1)</f>
        <v>47350.3996154409</v>
      </c>
      <c r="D975" s="0" t="n">
        <f aca="false">C975-$C$3-B975</f>
        <v>1774.39961544085</v>
      </c>
      <c r="E975" s="0" t="n">
        <f aca="false">$E$1*B975*86.4</f>
        <v>823851.648</v>
      </c>
      <c r="F975" s="0" t="n">
        <f aca="false">$G$1*G975</f>
        <v>297539.226790942</v>
      </c>
      <c r="G975" s="0" t="n">
        <f aca="false">TANH($E$1*B975*86.4/$G$1)</f>
        <v>0.991797422636473</v>
      </c>
      <c r="H975" s="0" t="n">
        <f aca="false">COSH($E$1*B975*86.4/$G$1)</f>
        <v>7.82352094128883</v>
      </c>
      <c r="I975" s="0" t="n">
        <f aca="false">(($G$1^2*1000)/($E$1*$I$1))*(H975-1)</f>
        <v>6.61689387293976</v>
      </c>
      <c r="J975" s="0" t="n">
        <f aca="false">$J$3*EXP(-$E$1*B975*86.4/$G$1)</f>
        <v>64.1730357760955</v>
      </c>
      <c r="K975" s="0" t="n">
        <f aca="false">J974-J975</f>
        <v>0.181563157122881</v>
      </c>
    </row>
    <row r="976" customFormat="false" ht="12.8" hidden="false" customHeight="false" outlineLevel="0" collapsed="false">
      <c r="A976" s="0" t="n">
        <v>1</v>
      </c>
      <c r="B976" s="0" t="n">
        <f aca="false">B975+A976</f>
        <v>973</v>
      </c>
      <c r="C976" s="0" t="n">
        <f aca="false">$C$3+($G$1/($E$1*86.4))*SINH($E$1*B976*86.4/$G$1)</f>
        <v>47358.2341079628</v>
      </c>
      <c r="D976" s="0" t="n">
        <f aca="false">C976-$C$3-B976</f>
        <v>1781.23410796282</v>
      </c>
      <c r="E976" s="0" t="n">
        <f aca="false">$E$1*B976*86.4</f>
        <v>824699.232</v>
      </c>
      <c r="F976" s="0" t="n">
        <f aca="false">$G$1*G976</f>
        <v>297553.035779243</v>
      </c>
      <c r="G976" s="0" t="n">
        <f aca="false">TANH($E$1*B976*86.4/$G$1)</f>
        <v>0.991843452597476</v>
      </c>
      <c r="H976" s="0" t="n">
        <f aca="false">COSH($E$1*B976*86.4/$G$1)</f>
        <v>7.84547452540698</v>
      </c>
      <c r="I976" s="0" t="n">
        <f aca="false">(($G$1^2*1000)/($E$1*$I$1))*(H976-1)</f>
        <v>6.63818266760902</v>
      </c>
      <c r="J976" s="0" t="n">
        <f aca="false">$J$3*EXP(-$E$1*B976*86.4/$G$1)</f>
        <v>63.9919848617737</v>
      </c>
      <c r="K976" s="0" t="n">
        <f aca="false">J975-J976</f>
        <v>0.18105091432178</v>
      </c>
    </row>
    <row r="977" customFormat="false" ht="12.8" hidden="false" customHeight="false" outlineLevel="0" collapsed="false">
      <c r="A977" s="0" t="n">
        <v>1</v>
      </c>
      <c r="B977" s="0" t="n">
        <f aca="false">B976+A977</f>
        <v>974</v>
      </c>
      <c r="C977" s="0" t="n">
        <f aca="false">$C$3+($G$1/($E$1*86.4))*SINH($E$1*B977*86.4/$G$1)</f>
        <v>47366.0905853664</v>
      </c>
      <c r="D977" s="0" t="n">
        <f aca="false">C977-$C$3-B977</f>
        <v>1788.09058536641</v>
      </c>
      <c r="E977" s="0" t="n">
        <f aca="false">$E$1*B977*86.4</f>
        <v>825546.816</v>
      </c>
      <c r="F977" s="0" t="n">
        <f aca="false">$G$1*G977</f>
        <v>297566.76759194</v>
      </c>
      <c r="G977" s="0" t="n">
        <f aca="false">TANH($E$1*B977*86.4/$G$1)</f>
        <v>0.991889225306466</v>
      </c>
      <c r="H977" s="0" t="n">
        <f aca="false">COSH($E$1*B977*86.4/$G$1)</f>
        <v>7.86749073376907</v>
      </c>
      <c r="I977" s="0" t="n">
        <f aca="false">(($G$1^2*1000)/($E$1*$I$1))*(H977-1)</f>
        <v>6.65953219016049</v>
      </c>
      <c r="J977" s="0" t="n">
        <f aca="false">$J$3*EXP(-$E$1*B977*86.4/$G$1)</f>
        <v>63.8114447450663</v>
      </c>
      <c r="K977" s="0" t="n">
        <f aca="false">J976-J977</f>
        <v>0.180540116707412</v>
      </c>
    </row>
    <row r="978" customFormat="false" ht="12.8" hidden="false" customHeight="false" outlineLevel="0" collapsed="false">
      <c r="A978" s="0" t="n">
        <v>1</v>
      </c>
      <c r="B978" s="0" t="n">
        <f aca="false">B977+A978</f>
        <v>975</v>
      </c>
      <c r="C978" s="0" t="n">
        <f aca="false">$C$3+($G$1/($E$1*86.4))*SINH($E$1*B978*86.4/$G$1)</f>
        <v>47373.9691103637</v>
      </c>
      <c r="D978" s="0" t="n">
        <f aca="false">C978-$C$3-B978</f>
        <v>1794.96911036368</v>
      </c>
      <c r="E978" s="0" t="n">
        <f aca="false">$E$1*B978*86.4</f>
        <v>826394.4</v>
      </c>
      <c r="F978" s="0" t="n">
        <f aca="false">$G$1*G978</f>
        <v>297580.42265682</v>
      </c>
      <c r="G978" s="0" t="n">
        <f aca="false">TANH($E$1*B978*86.4/$G$1)</f>
        <v>0.991934742189399</v>
      </c>
      <c r="H978" s="0" t="n">
        <f aca="false">COSH($E$1*B978*86.4/$G$1)</f>
        <v>7.88956974211317</v>
      </c>
      <c r="I978" s="0" t="n">
        <f aca="false">(($G$1^2*1000)/($E$1*$I$1))*(H978-1)</f>
        <v>6.68094261101062</v>
      </c>
      <c r="J978" s="0" t="n">
        <f aca="false">$J$3*EXP(-$E$1*B978*86.4/$G$1)</f>
        <v>63.6314139848636</v>
      </c>
      <c r="K978" s="0" t="n">
        <f aca="false">J977-J978</f>
        <v>0.180030760202676</v>
      </c>
    </row>
    <row r="979" customFormat="false" ht="12.8" hidden="false" customHeight="false" outlineLevel="0" collapsed="false">
      <c r="A979" s="0" t="n">
        <v>1</v>
      </c>
      <c r="B979" s="0" t="n">
        <f aca="false">B978+A979</f>
        <v>976</v>
      </c>
      <c r="C979" s="0" t="n">
        <f aca="false">$C$3+($G$1/($E$1*86.4))*SINH($E$1*B979*86.4/$G$1)</f>
        <v>47381.8697458427</v>
      </c>
      <c r="D979" s="0" t="n">
        <f aca="false">C979-$C$3-B979</f>
        <v>1801.86974584271</v>
      </c>
      <c r="E979" s="0" t="n">
        <f aca="false">$E$1*B979*86.4</f>
        <v>827241.984</v>
      </c>
      <c r="F979" s="0" t="n">
        <f aca="false">$G$1*G979</f>
        <v>297594.001399337</v>
      </c>
      <c r="G979" s="0" t="n">
        <f aca="false">TANH($E$1*B979*86.4/$G$1)</f>
        <v>0.991980004664457</v>
      </c>
      <c r="H979" s="0" t="n">
        <f aca="false">COSH($E$1*B979*86.4/$G$1)</f>
        <v>7.9117117266786</v>
      </c>
      <c r="I979" s="0" t="n">
        <f aca="false">(($G$1^2*1000)/($E$1*$I$1))*(H979-1)</f>
        <v>6.70241410106192</v>
      </c>
      <c r="J979" s="0" t="n">
        <f aca="false">$J$3*EXP(-$E$1*B979*86.4/$G$1)</f>
        <v>63.4518911441219</v>
      </c>
      <c r="K979" s="0" t="n">
        <f aca="false">J978-J979</f>
        <v>0.179522840741754</v>
      </c>
    </row>
    <row r="980" customFormat="false" ht="12.8" hidden="false" customHeight="false" outlineLevel="0" collapsed="false">
      <c r="A980" s="0" t="n">
        <v>1</v>
      </c>
      <c r="B980" s="0" t="n">
        <f aca="false">B979+A980</f>
        <v>977</v>
      </c>
      <c r="C980" s="0" t="n">
        <f aca="false">$C$3+($G$1/($E$1*86.4))*SINH($E$1*B980*86.4/$G$1)</f>
        <v>47389.792554868</v>
      </c>
      <c r="D980" s="0" t="n">
        <f aca="false">C980-$C$3-B980</f>
        <v>1808.79255486802</v>
      </c>
      <c r="E980" s="0" t="n">
        <f aca="false">$E$1*B980*86.4</f>
        <v>828089.568</v>
      </c>
      <c r="F980" s="0" t="n">
        <f aca="false">$G$1*G980</f>
        <v>297607.504242628</v>
      </c>
      <c r="G980" s="0" t="n">
        <f aca="false">TANH($E$1*B980*86.4/$G$1)</f>
        <v>0.992025014142095</v>
      </c>
      <c r="H980" s="0" t="n">
        <f aca="false">COSH($E$1*B980*86.4/$G$1)</f>
        <v>7.93391686420738</v>
      </c>
      <c r="I980" s="0" t="n">
        <f aca="false">(($G$1^2*1000)/($E$1*$I$1))*(H980-1)</f>
        <v>6.72394683170438</v>
      </c>
      <c r="J980" s="0" t="n">
        <f aca="false">$J$3*EXP(-$E$1*B980*86.4/$G$1)</f>
        <v>63.2728747898517</v>
      </c>
      <c r="K980" s="0" t="n">
        <f aca="false">J979-J980</f>
        <v>0.179016354270175</v>
      </c>
    </row>
    <row r="981" customFormat="false" ht="12.8" hidden="false" customHeight="false" outlineLevel="0" collapsed="false">
      <c r="A981" s="0" t="n">
        <v>1</v>
      </c>
      <c r="B981" s="0" t="n">
        <f aca="false">B980+A981</f>
        <v>978</v>
      </c>
      <c r="C981" s="0" t="n">
        <f aca="false">$C$3+($G$1/($E$1*86.4))*SINH($E$1*B981*86.4/$G$1)</f>
        <v>47397.7376006812</v>
      </c>
      <c r="D981" s="0" t="n">
        <f aca="false">C981-$C$3-B981</f>
        <v>1815.73760068118</v>
      </c>
      <c r="E981" s="0" t="n">
        <f aca="false">$E$1*B981*86.4</f>
        <v>828937.152</v>
      </c>
      <c r="F981" s="0" t="n">
        <f aca="false">$G$1*G981</f>
        <v>297620.931607522</v>
      </c>
      <c r="G981" s="0" t="n">
        <f aca="false">TANH($E$1*B981*86.4/$G$1)</f>
        <v>0.992069772025072</v>
      </c>
      <c r="H981" s="0" t="n">
        <f aca="false">COSH($E$1*B981*86.4/$G$1)</f>
        <v>7.95618533194564</v>
      </c>
      <c r="I981" s="0" t="n">
        <f aca="false">(($G$1^2*1000)/($E$1*$I$1))*(H981-1)</f>
        <v>6.74554097481684</v>
      </c>
      <c r="J981" s="0" t="n">
        <f aca="false">$J$3*EXP(-$E$1*B981*86.4/$G$1)</f>
        <v>63.0943634931065</v>
      </c>
      <c r="K981" s="0" t="n">
        <f aca="false">J980-J981</f>
        <v>0.178511296745221</v>
      </c>
    </row>
    <row r="982" customFormat="false" ht="12.8" hidden="false" customHeight="false" outlineLevel="0" collapsed="false">
      <c r="A982" s="0" t="n">
        <v>1</v>
      </c>
      <c r="B982" s="0" t="n">
        <f aca="false">B981+A982</f>
        <v>979</v>
      </c>
      <c r="C982" s="0" t="n">
        <f aca="false">$C$3+($G$1/($E$1*86.4))*SINH($E$1*B982*86.4/$G$1)</f>
        <v>47405.7049467012</v>
      </c>
      <c r="D982" s="0" t="n">
        <f aca="false">C982-$C$3-B982</f>
        <v>1822.70494670123</v>
      </c>
      <c r="E982" s="0" t="n">
        <f aca="false">$E$1*B982*86.4</f>
        <v>829784.736</v>
      </c>
      <c r="F982" s="0" t="n">
        <f aca="false">$G$1*G982</f>
        <v>297634.28391255</v>
      </c>
      <c r="G982" s="0" t="n">
        <f aca="false">TANH($E$1*B982*86.4/$G$1)</f>
        <v>0.992114279708501</v>
      </c>
      <c r="H982" s="0" t="n">
        <f aca="false">COSH($E$1*B982*86.4/$G$1)</f>
        <v>7.97851730764502</v>
      </c>
      <c r="I982" s="0" t="n">
        <f aca="false">(($G$1^2*1000)/($E$1*$I$1))*(H982-1)</f>
        <v>6.76719670276833</v>
      </c>
      <c r="J982" s="0" t="n">
        <f aca="false">$J$3*EXP(-$E$1*B982*86.4/$G$1)</f>
        <v>62.9163558289712</v>
      </c>
      <c r="K982" s="0" t="n">
        <f aca="false">J981-J982</f>
        <v>0.178007664135293</v>
      </c>
    </row>
    <row r="983" customFormat="false" ht="12.8" hidden="false" customHeight="false" outlineLevel="0" collapsed="false">
      <c r="A983" s="0" t="n">
        <v>1</v>
      </c>
      <c r="B983" s="0" t="n">
        <f aca="false">B982+A983</f>
        <v>980</v>
      </c>
      <c r="C983" s="0" t="n">
        <f aca="false">$C$3+($G$1/($E$1*86.4))*SINH($E$1*B983*86.4/$G$1)</f>
        <v>47413.6946565252</v>
      </c>
      <c r="D983" s="0" t="n">
        <f aca="false">C983-$C$3-B983</f>
        <v>1829.69465652521</v>
      </c>
      <c r="E983" s="0" t="n">
        <f aca="false">$E$1*B983*86.4</f>
        <v>830632.32</v>
      </c>
      <c r="F983" s="0" t="n">
        <f aca="false">$G$1*G983</f>
        <v>297647.561573965</v>
      </c>
      <c r="G983" s="0" t="n">
        <f aca="false">TANH($E$1*B983*86.4/$G$1)</f>
        <v>0.992158538579883</v>
      </c>
      <c r="H983" s="0" t="n">
        <f aca="false">COSH($E$1*B983*86.4/$G$1)</f>
        <v>8.00091296956409</v>
      </c>
      <c r="I983" s="0" t="n">
        <f aca="false">(($G$1^2*1000)/($E$1*$I$1))*(H983-1)</f>
        <v>6.78891418841948</v>
      </c>
      <c r="J983" s="0" t="n">
        <f aca="false">$J$3*EXP(-$E$1*B983*86.4/$G$1)</f>
        <v>62.7388503765507</v>
      </c>
      <c r="K983" s="0" t="n">
        <f aca="false">J982-J983</f>
        <v>0.177505452420455</v>
      </c>
    </row>
    <row r="984" customFormat="false" ht="12.8" hidden="false" customHeight="false" outlineLevel="0" collapsed="false">
      <c r="A984" s="0" t="n">
        <v>1</v>
      </c>
      <c r="B984" s="0" t="n">
        <f aca="false">B983+A984</f>
        <v>981</v>
      </c>
      <c r="C984" s="0" t="n">
        <f aca="false">$C$3+($G$1/($E$1*86.4))*SINH($E$1*B984*86.4/$G$1)</f>
        <v>47421.7067939287</v>
      </c>
      <c r="D984" s="0" t="n">
        <f aca="false">C984-$C$3-B984</f>
        <v>1836.70679392868</v>
      </c>
      <c r="E984" s="0" t="n">
        <f aca="false">$E$1*B984*86.4</f>
        <v>831479.904</v>
      </c>
      <c r="F984" s="0" t="n">
        <f aca="false">$G$1*G984</f>
        <v>297660.765005745</v>
      </c>
      <c r="G984" s="0" t="n">
        <f aca="false">TANH($E$1*B984*86.4/$G$1)</f>
        <v>0.992202550019149</v>
      </c>
      <c r="H984" s="0" t="n">
        <f aca="false">COSH($E$1*B984*86.4/$G$1)</f>
        <v>8.02337249646978</v>
      </c>
      <c r="I984" s="0" t="n">
        <f aca="false">(($G$1^2*1000)/($E$1*$I$1))*(H984-1)</f>
        <v>6.81069360512386</v>
      </c>
      <c r="J984" s="0" t="n">
        <f aca="false">$J$3*EXP(-$E$1*B984*86.4/$G$1)</f>
        <v>62.561845718959</v>
      </c>
      <c r="K984" s="0" t="n">
        <f aca="false">J983-J984</f>
        <v>0.177004657591702</v>
      </c>
    </row>
    <row r="985" customFormat="false" ht="12.8" hidden="false" customHeight="false" outlineLevel="0" collapsed="false">
      <c r="A985" s="0" t="n">
        <v>1</v>
      </c>
      <c r="B985" s="0" t="n">
        <f aca="false">B984+A985</f>
        <v>982</v>
      </c>
      <c r="C985" s="0" t="n">
        <f aca="false">$C$3+($G$1/($E$1*86.4))*SINH($E$1*B985*86.4/$G$1)</f>
        <v>47429.7414228662</v>
      </c>
      <c r="D985" s="0" t="n">
        <f aca="false">C985-$C$3-B985</f>
        <v>1843.74142286623</v>
      </c>
      <c r="E985" s="0" t="n">
        <f aca="false">$E$1*B985*86.4</f>
        <v>832327.488</v>
      </c>
      <c r="F985" s="0" t="n">
        <f aca="false">$G$1*G985</f>
        <v>297673.89461961</v>
      </c>
      <c r="G985" s="0" t="n">
        <f aca="false">TANH($E$1*B985*86.4/$G$1)</f>
        <v>0.992246315398701</v>
      </c>
      <c r="H985" s="0" t="n">
        <f aca="false">COSH($E$1*B985*86.4/$G$1)</f>
        <v>8.0458960676388</v>
      </c>
      <c r="I985" s="0" t="n">
        <f aca="false">(($G$1^2*1000)/($E$1*$I$1))*(H985-1)</f>
        <v>6.8325351267294</v>
      </c>
      <c r="J985" s="0" t="n">
        <f aca="false">$J$3*EXP(-$E$1*B985*86.4/$G$1)</f>
        <v>62.3853404433072</v>
      </c>
      <c r="K985" s="0" t="n">
        <f aca="false">J984-J985</f>
        <v>0.176505275651792</v>
      </c>
    </row>
    <row r="986" customFormat="false" ht="12.8" hidden="false" customHeight="false" outlineLevel="0" collapsed="false">
      <c r="A986" s="0" t="n">
        <v>1</v>
      </c>
      <c r="B986" s="0" t="n">
        <f aca="false">B985+A986</f>
        <v>983</v>
      </c>
      <c r="C986" s="0" t="n">
        <f aca="false">$C$3+($G$1/($E$1*86.4))*SINH($E$1*B986*86.4/$G$1)</f>
        <v>47437.798607472</v>
      </c>
      <c r="D986" s="0" t="n">
        <f aca="false">C986-$C$3-B986</f>
        <v>1850.79860747197</v>
      </c>
      <c r="E986" s="0" t="n">
        <f aca="false">$E$1*B986*86.4</f>
        <v>833175.072</v>
      </c>
      <c r="F986" s="0" t="n">
        <f aca="false">$G$1*G986</f>
        <v>297686.950825035</v>
      </c>
      <c r="G986" s="0" t="n">
        <f aca="false">TANH($E$1*B986*86.4/$G$1)</f>
        <v>0.992289836083449</v>
      </c>
      <c r="H986" s="0" t="n">
        <f aca="false">COSH($E$1*B986*86.4/$G$1)</f>
        <v>8.0684838628591</v>
      </c>
      <c r="I986" s="0" t="n">
        <f aca="false">(($G$1^2*1000)/($E$1*$I$1))*(H986-1)</f>
        <v>6.85443892757978</v>
      </c>
      <c r="J986" s="0" t="n">
        <f aca="false">$J$3*EXP(-$E$1*B986*86.4/$G$1)</f>
        <v>62.2093331406927</v>
      </c>
      <c r="K986" s="0" t="n">
        <f aca="false">J985-J986</f>
        <v>0.176007302614494</v>
      </c>
    </row>
    <row r="987" customFormat="false" ht="12.8" hidden="false" customHeight="false" outlineLevel="0" collapsed="false">
      <c r="A987" s="0" t="n">
        <v>1</v>
      </c>
      <c r="B987" s="0" t="n">
        <f aca="false">B986+A987</f>
        <v>984</v>
      </c>
      <c r="C987" s="0" t="n">
        <f aca="false">$C$3+($G$1/($E$1*86.4))*SINH($E$1*B987*86.4/$G$1)</f>
        <v>47445.8784120601</v>
      </c>
      <c r="D987" s="0" t="n">
        <f aca="false">C987-$C$3-B987</f>
        <v>1857.87841206006</v>
      </c>
      <c r="E987" s="0" t="n">
        <f aca="false">$E$1*B987*86.4</f>
        <v>834022.656</v>
      </c>
      <c r="F987" s="0" t="n">
        <f aca="false">$G$1*G987</f>
        <v>297699.934029256</v>
      </c>
      <c r="G987" s="0" t="n">
        <f aca="false">TANH($E$1*B987*86.4/$G$1)</f>
        <v>0.992333113430854</v>
      </c>
      <c r="H987" s="0" t="n">
        <f aca="false">COSH($E$1*B987*86.4/$G$1)</f>
        <v>8.09113606243123</v>
      </c>
      <c r="I987" s="0" t="n">
        <f aca="false">(($G$1^2*1000)/($E$1*$I$1))*(H987-1)</f>
        <v>6.87640518251577</v>
      </c>
      <c r="J987" s="0" t="n">
        <f aca="false">$J$3*EXP(-$E$1*B987*86.4/$G$1)</f>
        <v>62.0338224061879</v>
      </c>
      <c r="K987" s="0" t="n">
        <f aca="false">J986-J987</f>
        <v>0.175510734504854</v>
      </c>
    </row>
    <row r="988" customFormat="false" ht="12.8" hidden="false" customHeight="false" outlineLevel="0" collapsed="false">
      <c r="A988" s="0" t="n">
        <v>1</v>
      </c>
      <c r="B988" s="0" t="n">
        <f aca="false">B987+A988</f>
        <v>985</v>
      </c>
      <c r="C988" s="0" t="n">
        <f aca="false">$C$3+($G$1/($E$1*86.4))*SINH($E$1*B988*86.4/$G$1)</f>
        <v>47453.9809011252</v>
      </c>
      <c r="D988" s="0" t="n">
        <f aca="false">C988-$C$3-B988</f>
        <v>1864.98090112521</v>
      </c>
      <c r="E988" s="0" t="n">
        <f aca="false">$E$1*B988*86.4</f>
        <v>834870.24</v>
      </c>
      <c r="F988" s="0" t="n">
        <f aca="false">$G$1*G988</f>
        <v>297712.844637289</v>
      </c>
      <c r="G988" s="0" t="n">
        <f aca="false">TANH($E$1*B988*86.4/$G$1)</f>
        <v>0.992376148790965</v>
      </c>
      <c r="H988" s="0" t="n">
        <f aca="false">COSH($E$1*B988*86.4/$G$1)</f>
        <v>8.11385284716987</v>
      </c>
      <c r="I988" s="0" t="n">
        <f aca="false">(($G$1^2*1000)/($E$1*$I$1))*(H988-1)</f>
        <v>6.8984340668767</v>
      </c>
      <c r="J988" s="0" t="n">
        <f aca="false">$J$3*EXP(-$E$1*B988*86.4/$G$1)</f>
        <v>61.8588068388288</v>
      </c>
      <c r="K988" s="0" t="n">
        <f aca="false">J987-J988</f>
        <v>0.175015567359132</v>
      </c>
    </row>
    <row r="989" customFormat="false" ht="12.8" hidden="false" customHeight="false" outlineLevel="0" collapsed="false">
      <c r="A989" s="0" t="n">
        <v>1</v>
      </c>
      <c r="B989" s="0" t="n">
        <f aca="false">B988+A989</f>
        <v>986</v>
      </c>
      <c r="C989" s="0" t="n">
        <f aca="false">$C$3+($G$1/($E$1*86.4))*SINH($E$1*B989*86.4/$G$1)</f>
        <v>47462.1061393432</v>
      </c>
      <c r="D989" s="0" t="n">
        <f aca="false">C989-$C$3-B989</f>
        <v>1872.10613934322</v>
      </c>
      <c r="E989" s="0" t="n">
        <f aca="false">$E$1*B989*86.4</f>
        <v>835717.824</v>
      </c>
      <c r="F989" s="0" t="n">
        <f aca="false">$G$1*G989</f>
        <v>297725.683051938</v>
      </c>
      <c r="G989" s="0" t="n">
        <f aca="false">TANH($E$1*B989*86.4/$G$1)</f>
        <v>0.992418943506458</v>
      </c>
      <c r="H989" s="0" t="n">
        <f aca="false">COSH($E$1*B989*86.4/$G$1)</f>
        <v>8.13663439840523</v>
      </c>
      <c r="I989" s="0" t="n">
        <f aca="false">(($G$1^2*1000)/($E$1*$I$1))*(H989-1)</f>
        <v>6.92052575650179</v>
      </c>
      <c r="J989" s="0" t="n">
        <f aca="false">$J$3*EXP(-$E$1*B989*86.4/$G$1)</f>
        <v>61.6842850416039</v>
      </c>
      <c r="K989" s="0" t="n">
        <f aca="false">J988-J989</f>
        <v>0.174521797224884</v>
      </c>
    </row>
    <row r="990" customFormat="false" ht="12.8" hidden="false" customHeight="false" outlineLevel="0" collapsed="false">
      <c r="A990" s="0" t="n">
        <v>1</v>
      </c>
      <c r="B990" s="0" t="n">
        <f aca="false">B989+A990</f>
        <v>987</v>
      </c>
      <c r="C990" s="0" t="n">
        <f aca="false">$C$3+($G$1/($E$1*86.4))*SINH($E$1*B990*86.4/$G$1)</f>
        <v>47470.2541915715</v>
      </c>
      <c r="D990" s="0" t="n">
        <f aca="false">C990-$C$3-B990</f>
        <v>1879.25419157147</v>
      </c>
      <c r="E990" s="0" t="n">
        <f aca="false">$E$1*B990*86.4</f>
        <v>836565.408</v>
      </c>
      <c r="F990" s="0" t="n">
        <f aca="false">$G$1*G990</f>
        <v>297738.449673803</v>
      </c>
      <c r="G990" s="0" t="n">
        <f aca="false">TANH($E$1*B990*86.4/$G$1)</f>
        <v>0.992461498912678</v>
      </c>
      <c r="H990" s="0" t="n">
        <f aca="false">COSH($E$1*B990*86.4/$G$1)</f>
        <v>8.15948089798448</v>
      </c>
      <c r="I990" s="0" t="n">
        <f aca="false">(($G$1^2*1000)/($E$1*$I$1))*(H990-1)</f>
        <v>6.94268042773162</v>
      </c>
      <c r="J990" s="0" t="n">
        <f aca="false">$J$3*EXP(-$E$1*B990*86.4/$G$1)</f>
        <v>61.5102556214431</v>
      </c>
      <c r="K990" s="0" t="n">
        <f aca="false">J989-J990</f>
        <v>0.174029420160721</v>
      </c>
    </row>
    <row r="991" customFormat="false" ht="12.8" hidden="false" customHeight="false" outlineLevel="0" collapsed="false">
      <c r="A991" s="0" t="n">
        <v>1</v>
      </c>
      <c r="B991" s="0" t="n">
        <f aca="false">B990+A991</f>
        <v>988</v>
      </c>
      <c r="C991" s="0" t="n">
        <f aca="false">$C$3+($G$1/($E$1*86.4))*SINH($E$1*B991*86.4/$G$1)</f>
        <v>47478.4251228494</v>
      </c>
      <c r="D991" s="0" t="n">
        <f aca="false">C991-$C$3-B991</f>
        <v>1886.42512284943</v>
      </c>
      <c r="E991" s="0" t="n">
        <f aca="false">$E$1*B991*86.4</f>
        <v>837412.992</v>
      </c>
      <c r="F991" s="0" t="n">
        <f aca="false">$G$1*G991</f>
        <v>297751.144901301</v>
      </c>
      <c r="G991" s="0" t="n">
        <f aca="false">TANH($E$1*B991*86.4/$G$1)</f>
        <v>0.992503816337671</v>
      </c>
      <c r="H991" s="0" t="n">
        <f aca="false">COSH($E$1*B991*86.4/$G$1)</f>
        <v>8.18239252827323</v>
      </c>
      <c r="I991" s="0" t="n">
        <f aca="false">(($G$1^2*1000)/($E$1*$I$1))*(H991-1)</f>
        <v>6.96489825740945</v>
      </c>
      <c r="J991" s="0" t="n">
        <f aca="false">$J$3*EXP(-$E$1*B991*86.4/$G$1)</f>
        <v>61.3367171892069</v>
      </c>
      <c r="K991" s="0" t="n">
        <f aca="false">J990-J991</f>
        <v>0.173538432236263</v>
      </c>
    </row>
    <row r="992" customFormat="false" ht="12.8" hidden="false" customHeight="false" outlineLevel="0" collapsed="false">
      <c r="A992" s="0" t="n">
        <v>1</v>
      </c>
      <c r="B992" s="0" t="n">
        <f aca="false">B991+A992</f>
        <v>989</v>
      </c>
      <c r="C992" s="0" t="n">
        <f aca="false">$C$3+($G$1/($E$1*86.4))*SINH($E$1*B992*86.4/$G$1)</f>
        <v>47486.6189983992</v>
      </c>
      <c r="D992" s="0" t="n">
        <f aca="false">C992-$C$3-B992</f>
        <v>1893.61899839921</v>
      </c>
      <c r="E992" s="0" t="n">
        <f aca="false">$E$1*B992*86.4</f>
        <v>838260.576</v>
      </c>
      <c r="F992" s="0" t="n">
        <f aca="false">$G$1*G992</f>
        <v>297763.769130669</v>
      </c>
      <c r="G992" s="0" t="n">
        <f aca="false">TANH($E$1*B992*86.4/$G$1)</f>
        <v>0.992545897102231</v>
      </c>
      <c r="H992" s="0" t="n">
        <f aca="false">COSH($E$1*B992*86.4/$G$1)</f>
        <v>8.20536947215698</v>
      </c>
      <c r="I992" s="0" t="n">
        <f aca="false">(($G$1^2*1000)/($E$1*$I$1))*(H992-1)</f>
        <v>6.98717942288274</v>
      </c>
      <c r="J992" s="0" t="n">
        <f aca="false">$J$3*EXP(-$E$1*B992*86.4/$G$1)</f>
        <v>61.1636683596744</v>
      </c>
      <c r="K992" s="0" t="n">
        <f aca="false">J991-J992</f>
        <v>0.173048829532497</v>
      </c>
    </row>
    <row r="993" customFormat="false" ht="12.8" hidden="false" customHeight="false" outlineLevel="0" collapsed="false">
      <c r="A993" s="0" t="n">
        <v>1</v>
      </c>
      <c r="B993" s="0" t="n">
        <f aca="false">B992+A993</f>
        <v>990</v>
      </c>
      <c r="C993" s="0" t="n">
        <f aca="false">$C$3+($G$1/($E$1*86.4))*SINH($E$1*B993*86.4/$G$1)</f>
        <v>47494.8358836261</v>
      </c>
      <c r="D993" s="0" t="n">
        <f aca="false">C993-$C$3-B993</f>
        <v>1900.83588362607</v>
      </c>
      <c r="E993" s="0" t="n">
        <f aca="false">$E$1*B993*86.4</f>
        <v>839108.16</v>
      </c>
      <c r="F993" s="0" t="n">
        <f aca="false">$G$1*G993</f>
        <v>297776.32275598</v>
      </c>
      <c r="G993" s="0" t="n">
        <f aca="false">TANH($E$1*B993*86.4/$G$1)</f>
        <v>0.992587742519932</v>
      </c>
      <c r="H993" s="0" t="n">
        <f aca="false">COSH($E$1*B993*86.4/$G$1)</f>
        <v>8.22841191304258</v>
      </c>
      <c r="I993" s="0" t="n">
        <f aca="false">(($G$1^2*1000)/($E$1*$I$1))*(H993-1)</f>
        <v>7.00952410200447</v>
      </c>
      <c r="J993" s="0" t="n">
        <f aca="false">$J$3*EXP(-$E$1*B993*86.4/$G$1)</f>
        <v>60.9911077515332</v>
      </c>
      <c r="K993" s="0" t="n">
        <f aca="false">J992-J993</f>
        <v>0.17256060814119</v>
      </c>
    </row>
    <row r="994" customFormat="false" ht="12.8" hidden="false" customHeight="false" outlineLevel="0" collapsed="false">
      <c r="A994" s="0" t="n">
        <v>1</v>
      </c>
      <c r="B994" s="0" t="n">
        <f aca="false">B993+A994</f>
        <v>991</v>
      </c>
      <c r="C994" s="0" t="n">
        <f aca="false">$C$3+($G$1/($E$1*86.4))*SINH($E$1*B994*86.4/$G$1)</f>
        <v>47503.0758441189</v>
      </c>
      <c r="D994" s="0" t="n">
        <f aca="false">C994-$C$3-B994</f>
        <v>1908.07584411893</v>
      </c>
      <c r="E994" s="0" t="n">
        <f aca="false">$E$1*B994*86.4</f>
        <v>839955.744</v>
      </c>
      <c r="F994" s="0" t="n">
        <f aca="false">$G$1*G994</f>
        <v>297788.806169151</v>
      </c>
      <c r="G994" s="0" t="n">
        <f aca="false">TANH($E$1*B994*86.4/$G$1)</f>
        <v>0.992629353897169</v>
      </c>
      <c r="H994" s="0" t="n">
        <f aca="false">COSH($E$1*B994*86.4/$G$1)</f>
        <v>8.2515200348597</v>
      </c>
      <c r="I994" s="0" t="n">
        <f aca="false">(($G$1^2*1000)/($E$1*$I$1))*(H994-1)</f>
        <v>7.03193247313463</v>
      </c>
      <c r="J994" s="0" t="n">
        <f aca="false">$J$3*EXP(-$E$1*B994*86.4/$G$1)</f>
        <v>60.8190339873678</v>
      </c>
      <c r="K994" s="0" t="n">
        <f aca="false">J993-J994</f>
        <v>0.17207376416539</v>
      </c>
    </row>
    <row r="995" customFormat="false" ht="12.8" hidden="false" customHeight="false" outlineLevel="0" collapsed="false">
      <c r="A995" s="0" t="n">
        <v>1</v>
      </c>
      <c r="B995" s="0" t="n">
        <f aca="false">B994+A995</f>
        <v>992</v>
      </c>
      <c r="C995" s="0" t="n">
        <f aca="false">$C$3+($G$1/($E$1*86.4))*SINH($E$1*B995*86.4/$G$1)</f>
        <v>47511.3389456509</v>
      </c>
      <c r="D995" s="0" t="n">
        <f aca="false">C995-$C$3-B995</f>
        <v>1915.33894565091</v>
      </c>
      <c r="E995" s="0" t="n">
        <f aca="false">$E$1*B995*86.4</f>
        <v>840803.328</v>
      </c>
      <c r="F995" s="0" t="n">
        <f aca="false">$G$1*G995</f>
        <v>297801.219759959</v>
      </c>
      <c r="G995" s="0" t="n">
        <f aca="false">TANH($E$1*B995*86.4/$G$1)</f>
        <v>0.992670732533197</v>
      </c>
      <c r="H995" s="0" t="n">
        <f aca="false">COSH($E$1*B995*86.4/$G$1)</f>
        <v>8.27469402206225</v>
      </c>
      <c r="I995" s="0" t="n">
        <f aca="false">(($G$1^2*1000)/($E$1*$I$1))*(H995-1)</f>
        <v>7.05440471514158</v>
      </c>
      <c r="J995" s="0" t="n">
        <f aca="false">$J$3*EXP(-$E$1*B995*86.4/$G$1)</f>
        <v>60.647445693649</v>
      </c>
      <c r="K995" s="0" t="n">
        <f aca="false">J994-J995</f>
        <v>0.171588293718813</v>
      </c>
    </row>
    <row r="996" customFormat="false" ht="12.8" hidden="false" customHeight="false" outlineLevel="0" collapsed="false">
      <c r="A996" s="0" t="n">
        <v>1</v>
      </c>
      <c r="B996" s="0" t="n">
        <f aca="false">B995+A996</f>
        <v>993</v>
      </c>
      <c r="C996" s="0" t="n">
        <f aca="false">$C$3+($G$1/($E$1*86.4))*SINH($E$1*B996*86.4/$G$1)</f>
        <v>47519.6252541798</v>
      </c>
      <c r="D996" s="0" t="n">
        <f aca="false">C996-$C$3-B996</f>
        <v>1922.62525417983</v>
      </c>
      <c r="E996" s="0" t="n">
        <f aca="false">$E$1*B996*86.4</f>
        <v>841650.912</v>
      </c>
      <c r="F996" s="0" t="n">
        <f aca="false">$G$1*G996</f>
        <v>297813.56391605</v>
      </c>
      <c r="G996" s="0" t="n">
        <f aca="false">TANH($E$1*B996*86.4/$G$1)</f>
        <v>0.992711879720165</v>
      </c>
      <c r="H996" s="0" t="n">
        <f aca="false">COSH($E$1*B996*86.4/$G$1)</f>
        <v>8.29793405962993</v>
      </c>
      <c r="I996" s="0" t="n">
        <f aca="false">(($G$1^2*1000)/($E$1*$I$1))*(H996-1)</f>
        <v>7.07694100740354</v>
      </c>
      <c r="J996" s="0" t="n">
        <f aca="false">$J$3*EXP(-$E$1*B996*86.4/$G$1)</f>
        <v>60.4763415007225</v>
      </c>
      <c r="K996" s="0" t="n">
        <f aca="false">J995-J996</f>
        <v>0.171104192926499</v>
      </c>
    </row>
    <row r="997" customFormat="false" ht="12.8" hidden="false" customHeight="false" outlineLevel="0" collapsed="false">
      <c r="A997" s="0" t="n">
        <v>1</v>
      </c>
      <c r="B997" s="0" t="n">
        <f aca="false">B996+A997</f>
        <v>994</v>
      </c>
      <c r="C997" s="0" t="n">
        <f aca="false">$C$3+($G$1/($E$1*86.4))*SINH($E$1*B997*86.4/$G$1)</f>
        <v>47527.9348358488</v>
      </c>
      <c r="D997" s="0" t="n">
        <f aca="false">C997-$C$3-B997</f>
        <v>1929.93483584878</v>
      </c>
      <c r="E997" s="0" t="n">
        <f aca="false">$E$1*B997*86.4</f>
        <v>842498.496</v>
      </c>
      <c r="F997" s="0" t="n">
        <f aca="false">$G$1*G997</f>
        <v>297825.839022947</v>
      </c>
      <c r="G997" s="0" t="n">
        <f aca="false">TANH($E$1*B997*86.4/$G$1)</f>
        <v>0.992752796743157</v>
      </c>
      <c r="H997" s="0" t="n">
        <f aca="false">COSH($E$1*B997*86.4/$G$1)</f>
        <v>8.32124033306966</v>
      </c>
      <c r="I997" s="0" t="n">
        <f aca="false">(($G$1^2*1000)/($E$1*$I$1))*(H997-1)</f>
        <v>7.09954152980998</v>
      </c>
      <c r="J997" s="0" t="n">
        <f aca="false">$J$3*EXP(-$E$1*B997*86.4/$G$1)</f>
        <v>60.3057200427983</v>
      </c>
      <c r="K997" s="0" t="n">
        <f aca="false">J996-J997</f>
        <v>0.170621457924241</v>
      </c>
    </row>
    <row r="998" customFormat="false" ht="12.8" hidden="false" customHeight="false" outlineLevel="0" collapsed="false">
      <c r="A998" s="0" t="n">
        <v>1</v>
      </c>
      <c r="B998" s="0" t="n">
        <f aca="false">B997+A998</f>
        <v>995</v>
      </c>
      <c r="C998" s="0" t="n">
        <f aca="false">$C$3+($G$1/($E$1*86.4))*SINH($E$1*B998*86.4/$G$1)</f>
        <v>47536.2677569866</v>
      </c>
      <c r="D998" s="0" t="n">
        <f aca="false">C998-$C$3-B998</f>
        <v>1937.26775698661</v>
      </c>
      <c r="E998" s="0" t="n">
        <f aca="false">$E$1*B998*86.4</f>
        <v>843346.08</v>
      </c>
      <c r="F998" s="0" t="n">
        <f aca="false">$G$1*G998</f>
        <v>297838.045464068</v>
      </c>
      <c r="G998" s="0" t="n">
        <f aca="false">TANH($E$1*B998*86.4/$G$1)</f>
        <v>0.992793484880227</v>
      </c>
      <c r="H998" s="0" t="n">
        <f aca="false">COSH($E$1*B998*86.4/$G$1)</f>
        <v>8.34461302841706</v>
      </c>
      <c r="I998" s="0" t="n">
        <f aca="false">(($G$1^2*1000)/($E$1*$I$1))*(H998-1)</f>
        <v>7.12220646276306</v>
      </c>
      <c r="J998" s="0" t="n">
        <f aca="false">$J$3*EXP(-$E$1*B998*86.4/$G$1)</f>
        <v>60.1355799579397</v>
      </c>
      <c r="K998" s="0" t="n">
        <f aca="false">J997-J998</f>
        <v>0.170140084858588</v>
      </c>
    </row>
    <row r="999" customFormat="false" ht="12.8" hidden="false" customHeight="false" outlineLevel="0" collapsed="false">
      <c r="A999" s="0" t="n">
        <v>1</v>
      </c>
      <c r="B999" s="0" t="n">
        <f aca="false">B998+A999</f>
        <v>996</v>
      </c>
      <c r="C999" s="0" t="n">
        <f aca="false">$C$3+($G$1/($E$1*86.4))*SINH($E$1*B999*86.4/$G$1)</f>
        <v>47544.6240841084</v>
      </c>
      <c r="D999" s="0" t="n">
        <f aca="false">C999-$C$3-B999</f>
        <v>1944.62408410844</v>
      </c>
      <c r="E999" s="0" t="n">
        <f aca="false">$E$1*B999*86.4</f>
        <v>844193.664</v>
      </c>
      <c r="F999" s="0" t="n">
        <f aca="false">$G$1*G999</f>
        <v>297850.183620732</v>
      </c>
      <c r="G999" s="0" t="n">
        <f aca="false">TANH($E$1*B999*86.4/$G$1)</f>
        <v>0.992833945402441</v>
      </c>
      <c r="H999" s="0" t="n">
        <f aca="false">COSH($E$1*B999*86.4/$G$1)</f>
        <v>8.36805233223794</v>
      </c>
      <c r="I999" s="0" t="n">
        <f aca="false">(($G$1^2*1000)/($E$1*$I$1))*(H999-1)</f>
        <v>7.14493598717911</v>
      </c>
      <c r="J999" s="0" t="n">
        <f aca="false">$J$3*EXP(-$E$1*B999*86.4/$G$1)</f>
        <v>59.9659198880524</v>
      </c>
      <c r="K999" s="0" t="n">
        <f aca="false">J998-J999</f>
        <v>0.169660069887314</v>
      </c>
    </row>
    <row r="1000" customFormat="false" ht="12.8" hidden="false" customHeight="false" outlineLevel="0" collapsed="false">
      <c r="A1000" s="0" t="n">
        <v>1</v>
      </c>
      <c r="B1000" s="0" t="n">
        <f aca="false">B999+A1000</f>
        <v>997</v>
      </c>
      <c r="C1000" s="0" t="n">
        <f aca="false">$C$3+($G$1/($E$1*86.4))*SINH($E$1*B1000*86.4/$G$1)</f>
        <v>47553.0038839163</v>
      </c>
      <c r="D1000" s="0" t="n">
        <f aca="false">C1000-$C$3-B1000</f>
        <v>1952.00388391627</v>
      </c>
      <c r="E1000" s="0" t="n">
        <f aca="false">$E$1*B1000*86.4</f>
        <v>845041.248</v>
      </c>
      <c r="F1000" s="0" t="n">
        <f aca="false">$G$1*G1000</f>
        <v>297862.253872172</v>
      </c>
      <c r="G1000" s="0" t="n">
        <f aca="false">TANH($E$1*B1000*86.4/$G$1)</f>
        <v>0.992874179573905</v>
      </c>
      <c r="H1000" s="0" t="n">
        <f aca="false">COSH($E$1*B1000*86.4/$G$1)</f>
        <v>8.39155843162982</v>
      </c>
      <c r="I1000" s="0" t="n">
        <f aca="false">(($G$1^2*1000)/($E$1*$I$1))*(H1000-1)</f>
        <v>7.16773028448999</v>
      </c>
      <c r="J1000" s="0" t="n">
        <f aca="false">$J$3*EXP(-$E$1*B1000*86.4/$G$1)</f>
        <v>59.7967384788736</v>
      </c>
      <c r="K1000" s="0" t="n">
        <f aca="false">J999-J1000</f>
        <v>0.169181409178705</v>
      </c>
    </row>
    <row r="1001" customFormat="false" ht="12.8" hidden="false" customHeight="false" outlineLevel="0" collapsed="false">
      <c r="A1001" s="0" t="n">
        <v>1</v>
      </c>
      <c r="B1001" s="0" t="n">
        <f aca="false">B1000+A1001</f>
        <v>998</v>
      </c>
      <c r="C1001" s="0" t="n">
        <f aca="false">$C$3+($G$1/($E$1*86.4))*SINH($E$1*B1001*86.4/$G$1)</f>
        <v>47561.4072232994</v>
      </c>
      <c r="D1001" s="0" t="n">
        <f aca="false">C1001-$C$3-B1001</f>
        <v>1959.40722329943</v>
      </c>
      <c r="E1001" s="0" t="n">
        <f aca="false">$E$1*B1001*86.4</f>
        <v>845888.832</v>
      </c>
      <c r="F1001" s="0" t="n">
        <f aca="false">$G$1*G1001</f>
        <v>297874.256595544</v>
      </c>
      <c r="G1001" s="0" t="n">
        <f aca="false">TANH($E$1*B1001*86.4/$G$1)</f>
        <v>0.992914188651814</v>
      </c>
      <c r="H1001" s="0" t="n">
        <f aca="false">COSH($E$1*B1001*86.4/$G$1)</f>
        <v>8.41513151422337</v>
      </c>
      <c r="I1001" s="0" t="n">
        <f aca="false">(($G$1^2*1000)/($E$1*$I$1))*(H1001-1)</f>
        <v>7.19058953664466</v>
      </c>
      <c r="J1001" s="0" t="n">
        <f aca="false">$J$3*EXP(-$E$1*B1001*86.4/$G$1)</f>
        <v>59.6280343799616</v>
      </c>
      <c r="K1001" s="0" t="n">
        <f aca="false">J1000-J1001</f>
        <v>0.168704098912073</v>
      </c>
    </row>
    <row r="1002" customFormat="false" ht="12.8" hidden="false" customHeight="false" outlineLevel="0" collapsed="false">
      <c r="A1002" s="0" t="n">
        <v>1</v>
      </c>
      <c r="B1002" s="0" t="n">
        <f aca="false">B1001+A1002</f>
        <v>999</v>
      </c>
      <c r="C1002" s="0" t="n">
        <f aca="false">$C$3+($G$1/($E$1*86.4))*SINH($E$1*B1002*86.4/$G$1)</f>
        <v>47569.8341693352</v>
      </c>
      <c r="D1002" s="0" t="n">
        <f aca="false">C1002-$C$3-B1002</f>
        <v>1966.83416933516</v>
      </c>
      <c r="E1002" s="0" t="n">
        <f aca="false">$E$1*B1002*86.4</f>
        <v>846736.416</v>
      </c>
      <c r="F1002" s="0" t="n">
        <f aca="false">$G$1*G1002</f>
        <v>297886.192165943</v>
      </c>
      <c r="G1002" s="0" t="n">
        <f aca="false">TANH($E$1*B1002*86.4/$G$1)</f>
        <v>0.992953973886477</v>
      </c>
      <c r="H1002" s="0" t="n">
        <f aca="false">COSH($E$1*B1002*86.4/$G$1)</f>
        <v>8.43877176818393</v>
      </c>
      <c r="I1002" s="0" t="n">
        <f aca="false">(($G$1^2*1000)/($E$1*$I$1))*(H1002-1)</f>
        <v>7.21351392611049</v>
      </c>
      <c r="J1002" s="0" t="n">
        <f aca="false">$J$3*EXP(-$E$1*B1002*86.4/$G$1)</f>
        <v>59.4598062446842</v>
      </c>
      <c r="K1002" s="0" t="n">
        <f aca="false">J1001-J1002</f>
        <v>0.168228135277339</v>
      </c>
    </row>
    <row r="1003" customFormat="false" ht="12.8" hidden="false" customHeight="false" outlineLevel="0" collapsed="false">
      <c r="A1003" s="0" t="n">
        <v>1</v>
      </c>
      <c r="B1003" s="0" t="n">
        <f aca="false">B1002+A1003</f>
        <v>1000</v>
      </c>
      <c r="C1003" s="0" t="n">
        <f aca="false">$C$3+($G$1/($E$1*86.4))*SINH($E$1*B1003*86.4/$G$1)</f>
        <v>47578.2847892891</v>
      </c>
      <c r="D1003" s="0" t="n">
        <f aca="false">C1003-$C$3-B1003</f>
        <v>1974.28478928914</v>
      </c>
      <c r="E1003" s="0" t="n">
        <f aca="false">$E$1*B1003*86.4</f>
        <v>847584</v>
      </c>
      <c r="F1003" s="0" t="n">
        <f aca="false">$G$1*G1003</f>
        <v>297898.060956408</v>
      </c>
      <c r="G1003" s="0" t="n">
        <f aca="false">TANH($E$1*B1003*86.4/$G$1)</f>
        <v>0.992993536521361</v>
      </c>
      <c r="H1003" s="0" t="n">
        <f aca="false">COSH($E$1*B1003*86.4/$G$1)</f>
        <v>8.46247938221304</v>
      </c>
      <c r="I1003" s="0" t="n">
        <f aca="false">(($G$1^2*1000)/($E$1*$I$1))*(H1003-1)</f>
        <v>7.23650363587485</v>
      </c>
      <c r="J1003" s="0" t="n">
        <f aca="false">$J$3*EXP(-$E$1*B1003*86.4/$G$1)</f>
        <v>59.2920527302089</v>
      </c>
      <c r="K1003" s="0" t="n">
        <f aca="false">J1002-J1003</f>
        <v>0.167753514475351</v>
      </c>
    </row>
    <row r="1004" customFormat="false" ht="12.8" hidden="false" customHeight="false" outlineLevel="0" collapsed="false">
      <c r="A1004" s="0" t="n">
        <v>1</v>
      </c>
      <c r="B1004" s="0" t="n">
        <f aca="false">B1003+A1004</f>
        <v>1001</v>
      </c>
      <c r="C1004" s="0" t="n">
        <f aca="false">$C$3+($G$1/($E$1*86.4))*SINH($E$1*B1004*86.4/$G$1)</f>
        <v>47586.759150616</v>
      </c>
      <c r="D1004" s="0" t="n">
        <f aca="false">C1004-$C$3-B1004</f>
        <v>1981.75915061602</v>
      </c>
      <c r="E1004" s="0" t="n">
        <f aca="false">$E$1*B1004*86.4</f>
        <v>848431.584</v>
      </c>
      <c r="F1004" s="0" t="n">
        <f aca="false">$G$1*G1004</f>
        <v>297909.863337938</v>
      </c>
      <c r="G1004" s="0" t="n">
        <f aca="false">TANH($E$1*B1004*86.4/$G$1)</f>
        <v>0.993032877793125</v>
      </c>
      <c r="H1004" s="0" t="n">
        <f aca="false">COSH($E$1*B1004*86.4/$G$1)</f>
        <v>8.48625454554992</v>
      </c>
      <c r="I1004" s="0" t="n">
        <f aca="false">(($G$1^2*1000)/($E$1*$I$1))*(H1004-1)</f>
        <v>7.25955884944648</v>
      </c>
      <c r="J1004" s="0" t="n">
        <f aca="false">$J$3*EXP(-$E$1*B1004*86.4/$G$1)</f>
        <v>59.1247724974913</v>
      </c>
      <c r="K1004" s="0" t="n">
        <f aca="false">J1003-J1004</f>
        <v>0.167280232717587</v>
      </c>
    </row>
    <row r="1005" customFormat="false" ht="12.8" hidden="false" customHeight="false" outlineLevel="0" collapsed="false">
      <c r="A1005" s="0" t="n">
        <v>1</v>
      </c>
      <c r="B1005" s="0" t="n">
        <f aca="false">B1004+A1005</f>
        <v>1002</v>
      </c>
      <c r="C1005" s="0" t="n">
        <f aca="false">$C$3+($G$1/($E$1*86.4))*SINH($E$1*B1005*86.4/$G$1)</f>
        <v>47595.2573209599</v>
      </c>
      <c r="D1005" s="0" t="n">
        <f aca="false">C1005-$C$3-B1005</f>
        <v>1989.25732095994</v>
      </c>
      <c r="E1005" s="0" t="n">
        <f aca="false">$E$1*B1005*86.4</f>
        <v>849279.168</v>
      </c>
      <c r="F1005" s="0" t="n">
        <f aca="false">$G$1*G1005</f>
        <v>297921.599679497</v>
      </c>
      <c r="G1005" s="0" t="n">
        <f aca="false">TANH($E$1*B1005*86.4/$G$1)</f>
        <v>0.993071998931656</v>
      </c>
      <c r="H1005" s="0" t="n">
        <f aca="false">COSH($E$1*B1005*86.4/$G$1)</f>
        <v>8.51009744797295</v>
      </c>
      <c r="I1005" s="0" t="n">
        <f aca="false">(($G$1^2*1000)/($E$1*$I$1))*(H1005-1)</f>
        <v>7.28267975085699</v>
      </c>
      <c r="J1005" s="0" t="n">
        <f aca="false">$J$3*EXP(-$E$1*B1005*86.4/$G$1)</f>
        <v>58.9579642112652</v>
      </c>
      <c r="K1005" s="0" t="n">
        <f aca="false">J1004-J1005</f>
        <v>0.1668082862261</v>
      </c>
    </row>
    <row r="1006" customFormat="false" ht="12.8" hidden="false" customHeight="false" outlineLevel="0" collapsed="false">
      <c r="A1006" s="0" t="n">
        <v>1</v>
      </c>
      <c r="B1006" s="0" t="n">
        <f aca="false">B1005+A1006</f>
        <v>1003</v>
      </c>
      <c r="C1006" s="0" t="n">
        <f aca="false">$C$3+($G$1/($E$1*86.4))*SINH($E$1*B1006*86.4/$G$1)</f>
        <v>47603.7793681551</v>
      </c>
      <c r="D1006" s="0" t="n">
        <f aca="false">C1006-$C$3-B1006</f>
        <v>1996.77936815509</v>
      </c>
      <c r="E1006" s="0" t="n">
        <f aca="false">$E$1*B1006*86.4</f>
        <v>850126.752</v>
      </c>
      <c r="F1006" s="0" t="n">
        <f aca="false">$G$1*G1006</f>
        <v>297933.270348032</v>
      </c>
      <c r="G1006" s="0" t="n">
        <f aca="false">TANH($E$1*B1006*86.4/$G$1)</f>
        <v>0.993110901160105</v>
      </c>
      <c r="H1006" s="0" t="n">
        <f aca="false">COSH($E$1*B1006*86.4/$G$1)</f>
        <v>8.53400827980125</v>
      </c>
      <c r="I1006" s="0" t="n">
        <f aca="false">(($G$1^2*1000)/($E$1*$I$1))*(H1006-1)</f>
        <v>7.30586652466232</v>
      </c>
      <c r="J1006" s="0" t="n">
        <f aca="false">$J$3*EXP(-$E$1*B1006*86.4/$G$1)</f>
        <v>58.7916265400314</v>
      </c>
      <c r="K1006" s="0" t="n">
        <f aca="false">J1005-J1006</f>
        <v>0.166337671233755</v>
      </c>
    </row>
    <row r="1007" customFormat="false" ht="12.8" hidden="false" customHeight="false" outlineLevel="0" collapsed="false">
      <c r="A1007" s="0" t="n">
        <v>1</v>
      </c>
      <c r="B1007" s="0" t="n">
        <f aca="false">B1006+A1007</f>
        <v>1004</v>
      </c>
      <c r="C1007" s="0" t="n">
        <f aca="false">$C$3+($G$1/($E$1*86.4))*SINH($E$1*B1007*86.4/$G$1)</f>
        <v>47612.3253602263</v>
      </c>
      <c r="D1007" s="0" t="n">
        <f aca="false">C1007-$C$3-B1007</f>
        <v>2004.32536022628</v>
      </c>
      <c r="E1007" s="0" t="n">
        <f aca="false">$E$1*B1007*86.4</f>
        <v>850974.336</v>
      </c>
      <c r="F1007" s="0" t="n">
        <f aca="false">$G$1*G1007</f>
        <v>297944.875708477</v>
      </c>
      <c r="G1007" s="0" t="n">
        <f aca="false">TANH($E$1*B1007*86.4/$G$1)</f>
        <v>0.993149585694923</v>
      </c>
      <c r="H1007" s="0" t="n">
        <f aca="false">COSH($E$1*B1007*86.4/$G$1)</f>
        <v>8.55798723189617</v>
      </c>
      <c r="I1007" s="0" t="n">
        <f aca="false">(($G$1^2*1000)/($E$1*$I$1))*(H1007-1)</f>
        <v>7.32911935594422</v>
      </c>
      <c r="J1007" s="0" t="n">
        <f aca="false">$J$3*EXP(-$E$1*B1007*86.4/$G$1)</f>
        <v>58.6257581560474</v>
      </c>
      <c r="K1007" s="0" t="n">
        <f aca="false">J1006-J1007</f>
        <v>0.16586838398409</v>
      </c>
    </row>
    <row r="1008" customFormat="false" ht="12.8" hidden="false" customHeight="false" outlineLevel="0" collapsed="false">
      <c r="A1008" s="0" t="n">
        <v>1</v>
      </c>
      <c r="B1008" s="0" t="n">
        <f aca="false">B1007+A1008</f>
        <v>1005</v>
      </c>
      <c r="C1008" s="0" t="n">
        <f aca="false">$C$3+($G$1/($E$1*86.4))*SINH($E$1*B1008*86.4/$G$1)</f>
        <v>47620.8953653894</v>
      </c>
      <c r="D1008" s="0" t="n">
        <f aca="false">C1008-$C$3-B1008</f>
        <v>2011.89536538944</v>
      </c>
      <c r="E1008" s="0" t="n">
        <f aca="false">$E$1*B1008*86.4</f>
        <v>851821.92</v>
      </c>
      <c r="F1008" s="0" t="n">
        <f aca="false">$G$1*G1008</f>
        <v>297956.416123769</v>
      </c>
      <c r="G1008" s="0" t="n">
        <f aca="false">TANH($E$1*B1008*86.4/$G$1)</f>
        <v>0.993188053745897</v>
      </c>
      <c r="H1008" s="0" t="n">
        <f aca="false">COSH($E$1*B1008*86.4/$G$1)</f>
        <v>8.58203449566279</v>
      </c>
      <c r="I1008" s="0" t="n">
        <f aca="false">(($G$1^2*1000)/($E$1*$I$1))*(H1008-1)</f>
        <v>7.35243843031175</v>
      </c>
      <c r="J1008" s="0" t="n">
        <f aca="false">$J$3*EXP(-$E$1*B1008*86.4/$G$1)</f>
        <v>58.4603577353162</v>
      </c>
      <c r="K1008" s="0" t="n">
        <f aca="false">J1007-J1008</f>
        <v>0.165400420731125</v>
      </c>
    </row>
    <row r="1009" customFormat="false" ht="12.8" hidden="false" customHeight="false" outlineLevel="0" collapsed="false">
      <c r="A1009" s="0" t="n">
        <v>1</v>
      </c>
      <c r="B1009" s="0" t="n">
        <f aca="false">B1008+A1009</f>
        <v>1006</v>
      </c>
      <c r="C1009" s="0" t="n">
        <f aca="false">$C$3+($G$1/($E$1*86.4))*SINH($E$1*B1009*86.4/$G$1)</f>
        <v>47629.4894520522</v>
      </c>
      <c r="D1009" s="0" t="n">
        <f aca="false">C1009-$C$3-B1009</f>
        <v>2019.48945205215</v>
      </c>
      <c r="E1009" s="0" t="n">
        <f aca="false">$E$1*B1009*86.4</f>
        <v>852669.504</v>
      </c>
      <c r="F1009" s="0" t="n">
        <f aca="false">$G$1*G1009</f>
        <v>297967.891954855</v>
      </c>
      <c r="G1009" s="0" t="n">
        <f aca="false">TANH($E$1*B1009*86.4/$G$1)</f>
        <v>0.993226306516184</v>
      </c>
      <c r="H1009" s="0" t="n">
        <f aca="false">COSH($E$1*B1009*86.4/$G$1)</f>
        <v>8.60615026305147</v>
      </c>
      <c r="I1009" s="0" t="n">
        <f aca="false">(($G$1^2*1000)/($E$1*$I$1))*(H1009-1)</f>
        <v>7.3758239339027</v>
      </c>
      <c r="J1009" s="0" t="n">
        <f aca="false">$J$3*EXP(-$E$1*B1009*86.4/$G$1)</f>
        <v>58.2954239575769</v>
      </c>
      <c r="K1009" s="0" t="n">
        <f aca="false">J1008-J1009</f>
        <v>0.164933777739343</v>
      </c>
    </row>
    <row r="1010" customFormat="false" ht="12.8" hidden="false" customHeight="false" outlineLevel="0" collapsed="false">
      <c r="A1010" s="0" t="n">
        <v>1</v>
      </c>
      <c r="B1010" s="0" t="n">
        <f aca="false">B1009+A1010</f>
        <v>1007</v>
      </c>
      <c r="C1010" s="0" t="n">
        <f aca="false">$C$3+($G$1/($E$1*86.4))*SINH($E$1*B1010*86.4/$G$1)</f>
        <v>47638.1076888142</v>
      </c>
      <c r="D1010" s="0" t="n">
        <f aca="false">C1010-$C$3-B1010</f>
        <v>2027.10768881424</v>
      </c>
      <c r="E1010" s="0" t="n">
        <f aca="false">$E$1*B1010*86.4</f>
        <v>853517.088</v>
      </c>
      <c r="F1010" s="0" t="n">
        <f aca="false">$G$1*G1010</f>
        <v>297979.303560704</v>
      </c>
      <c r="G1010" s="0" t="n">
        <f aca="false">TANH($E$1*B1010*86.4/$G$1)</f>
        <v>0.993264345202348</v>
      </c>
      <c r="H1010" s="0" t="n">
        <f aca="false">COSH($E$1*B1010*86.4/$G$1)</f>
        <v>8.63033472655939</v>
      </c>
      <c r="I1010" s="0" t="n">
        <f aca="false">(($G$1^2*1000)/($E$1*$I$1))*(H1010-1)</f>
        <v>7.39927605338512</v>
      </c>
      <c r="J1010" s="0" t="n">
        <f aca="false">$J$3*EXP(-$E$1*B1010*86.4/$G$1)</f>
        <v>58.1309555062928</v>
      </c>
      <c r="K1010" s="0" t="n">
        <f aca="false">J1009-J1010</f>
        <v>0.164468451284094</v>
      </c>
    </row>
    <row r="1011" customFormat="false" ht="12.8" hidden="false" customHeight="false" outlineLevel="0" collapsed="false">
      <c r="A1011" s="0" t="n">
        <v>1</v>
      </c>
      <c r="B1011" s="0" t="n">
        <f aca="false">B1010+A1011</f>
        <v>1008</v>
      </c>
      <c r="C1011" s="0" t="n">
        <f aca="false">$C$3+($G$1/($E$1*86.4))*SINH($E$1*B1011*86.4/$G$1)</f>
        <v>47646.7501444683</v>
      </c>
      <c r="D1011" s="0" t="n">
        <f aca="false">C1011-$C$3-B1011</f>
        <v>2034.75014446831</v>
      </c>
      <c r="E1011" s="0" t="n">
        <f aca="false">$E$1*B1011*86.4</f>
        <v>854364.672</v>
      </c>
      <c r="F1011" s="0" t="n">
        <f aca="false">$G$1*G1011</f>
        <v>297990.651298319</v>
      </c>
      <c r="G1011" s="0" t="n">
        <f aca="false">TANH($E$1*B1011*86.4/$G$1)</f>
        <v>0.993302170994395</v>
      </c>
      <c r="H1011" s="0" t="n">
        <f aca="false">COSH($E$1*B1011*86.4/$G$1)</f>
        <v>8.65458807923208</v>
      </c>
      <c r="I1011" s="0" t="n">
        <f aca="false">(($G$1^2*1000)/($E$1*$I$1))*(H1011-1)</f>
        <v>7.42279497595882</v>
      </c>
      <c r="J1011" s="0" t="n">
        <f aca="false">$J$3*EXP(-$E$1*B1011*86.4/$G$1)</f>
        <v>57.9669510686419</v>
      </c>
      <c r="K1011" s="0" t="n">
        <f aca="false">J1010-J1011</f>
        <v>0.164004437650924</v>
      </c>
    </row>
    <row r="1012" customFormat="false" ht="12.8" hidden="false" customHeight="false" outlineLevel="0" collapsed="false">
      <c r="A1012" s="0" t="n">
        <v>1</v>
      </c>
      <c r="B1012" s="0" t="n">
        <f aca="false">B1011+A1012</f>
        <v>1009</v>
      </c>
      <c r="C1012" s="0" t="n">
        <f aca="false">$C$3+($G$1/($E$1*86.4))*SINH($E$1*B1012*86.4/$G$1)</f>
        <v>47655.4168880003</v>
      </c>
      <c r="D1012" s="0" t="n">
        <f aca="false">C1012-$C$3-B1012</f>
        <v>2042.41688800028</v>
      </c>
      <c r="E1012" s="0" t="n">
        <f aca="false">$E$1*B1012*86.4</f>
        <v>855212.256</v>
      </c>
      <c r="F1012" s="0" t="n">
        <f aca="false">$G$1*G1012</f>
        <v>298001.935522742</v>
      </c>
      <c r="G1012" s="0" t="n">
        <f aca="false">TANH($E$1*B1012*86.4/$G$1)</f>
        <v>0.993339785075807</v>
      </c>
      <c r="H1012" s="0" t="n">
        <f aca="false">COSH($E$1*B1012*86.4/$G$1)</f>
        <v>8.67891051466495</v>
      </c>
      <c r="I1012" s="0" t="n">
        <f aca="false">(($G$1^2*1000)/($E$1*$I$1))*(H1012-1)</f>
        <v>7.44638088935683</v>
      </c>
      <c r="J1012" s="0" t="n">
        <f aca="false">$J$3*EXP(-$E$1*B1012*86.4/$G$1)</f>
        <v>57.8034093355059</v>
      </c>
      <c r="K1012" s="0" t="n">
        <f aca="false">J1011-J1012</f>
        <v>0.163541733136007</v>
      </c>
    </row>
    <row r="1013" customFormat="false" ht="12.8" hidden="false" customHeight="false" outlineLevel="0" collapsed="false">
      <c r="A1013" s="0" t="n">
        <v>1</v>
      </c>
      <c r="B1013" s="0" t="n">
        <f aca="false">B1012+A1013</f>
        <v>1010</v>
      </c>
      <c r="C1013" s="0" t="n">
        <f aca="false">$C$3+($G$1/($E$1*86.4))*SINH($E$1*B1013*86.4/$G$1)</f>
        <v>47664.1079885899</v>
      </c>
      <c r="D1013" s="0" t="n">
        <f aca="false">C1013-$C$3-B1013</f>
        <v>2050.10798858994</v>
      </c>
      <c r="E1013" s="0" t="n">
        <f aca="false">$E$1*B1013*86.4</f>
        <v>856059.84</v>
      </c>
      <c r="F1013" s="0" t="n">
        <f aca="false">$G$1*G1013</f>
        <v>298013.156587073</v>
      </c>
      <c r="G1013" s="0" t="n">
        <f aca="false">TANH($E$1*B1013*86.4/$G$1)</f>
        <v>0.993377188623577</v>
      </c>
      <c r="H1013" s="0" t="n">
        <f aca="false">COSH($E$1*B1013*86.4/$G$1)</f>
        <v>8.70330222700484</v>
      </c>
      <c r="I1013" s="0" t="n">
        <f aca="false">(($G$1^2*1000)/($E$1*$I$1))*(H1013-1)</f>
        <v>7.47003398184691</v>
      </c>
      <c r="J1013" s="0" t="n">
        <f aca="false">$J$3*EXP(-$E$1*B1013*86.4/$G$1)</f>
        <v>57.6403290014599</v>
      </c>
      <c r="K1013" s="0" t="n">
        <f aca="false">J1012-J1013</f>
        <v>0.163080334045915</v>
      </c>
    </row>
    <row r="1014" customFormat="false" ht="12.8" hidden="false" customHeight="false" outlineLevel="0" collapsed="false">
      <c r="A1014" s="0" t="n">
        <v>1</v>
      </c>
      <c r="B1014" s="0" t="n">
        <f aca="false">B1013+A1014</f>
        <v>1011</v>
      </c>
      <c r="C1014" s="0" t="n">
        <f aca="false">$C$3+($G$1/($E$1*86.4))*SINH($E$1*B1014*86.4/$G$1)</f>
        <v>47672.8235156115</v>
      </c>
      <c r="D1014" s="0" t="n">
        <f aca="false">C1014-$C$3-B1014</f>
        <v>2057.82351561149</v>
      </c>
      <c r="E1014" s="0" t="n">
        <f aca="false">$E$1*B1014*86.4</f>
        <v>856907.424</v>
      </c>
      <c r="F1014" s="0" t="n">
        <f aca="false">$G$1*G1014</f>
        <v>298024.314842473</v>
      </c>
      <c r="G1014" s="0" t="n">
        <f aca="false">TANH($E$1*B1014*86.4/$G$1)</f>
        <v>0.993414382808242</v>
      </c>
      <c r="H1014" s="0" t="n">
        <f aca="false">COSH($E$1*B1014*86.4/$G$1)</f>
        <v>8.72776341095159</v>
      </c>
      <c r="I1014" s="0" t="n">
        <f aca="false">(($G$1^2*1000)/($E$1*$I$1))*(H1014-1)</f>
        <v>7.49375444223309</v>
      </c>
      <c r="J1014" s="0" t="n">
        <f aca="false">$J$3*EXP(-$E$1*B1014*86.4/$G$1)</f>
        <v>57.4777087647622</v>
      </c>
      <c r="K1014" s="0" t="n">
        <f aca="false">J1013-J1014</f>
        <v>0.162620236697713</v>
      </c>
    </row>
    <row r="1015" customFormat="false" ht="12.8" hidden="false" customHeight="false" outlineLevel="0" collapsed="false">
      <c r="A1015" s="0" t="n">
        <v>1</v>
      </c>
      <c r="B1015" s="0" t="n">
        <f aca="false">B1014+A1015</f>
        <v>1012</v>
      </c>
      <c r="C1015" s="0" t="n">
        <f aca="false">$C$3+($G$1/($E$1*86.4))*SINH($E$1*B1015*86.4/$G$1)</f>
        <v>47681.5635386341</v>
      </c>
      <c r="D1015" s="0" t="n">
        <f aca="false">C1015-$C$3-B1015</f>
        <v>2065.56353863412</v>
      </c>
      <c r="E1015" s="0" t="n">
        <f aca="false">$E$1*B1015*86.4</f>
        <v>857755.008</v>
      </c>
      <c r="F1015" s="0" t="n">
        <f aca="false">$G$1*G1015</f>
        <v>298035.410638176</v>
      </c>
      <c r="G1015" s="0" t="n">
        <f aca="false">TANH($E$1*B1015*86.4/$G$1)</f>
        <v>0.993451368793921</v>
      </c>
      <c r="H1015" s="0" t="n">
        <f aca="false">COSH($E$1*B1015*86.4/$G$1)</f>
        <v>8.75229426175956</v>
      </c>
      <c r="I1015" s="0" t="n">
        <f aca="false">(($G$1^2*1000)/($E$1*$I$1))*(H1015-1)</f>
        <v>7.51754245985711</v>
      </c>
      <c r="J1015" s="0" t="n">
        <f aca="false">$J$3*EXP(-$E$1*B1015*86.4/$G$1)</f>
        <v>57.3155473273434</v>
      </c>
      <c r="K1015" s="0" t="n">
        <f aca="false">J1014-J1015</f>
        <v>0.162161437418789</v>
      </c>
    </row>
    <row r="1016" customFormat="false" ht="12.8" hidden="false" customHeight="false" outlineLevel="0" collapsed="false">
      <c r="A1016" s="0" t="n">
        <v>1</v>
      </c>
      <c r="B1016" s="0" t="n">
        <f aca="false">B1015+A1016</f>
        <v>1013</v>
      </c>
      <c r="C1016" s="0" t="n">
        <f aca="false">$C$3+($G$1/($E$1*86.4))*SINH($E$1*B1016*86.4/$G$1)</f>
        <v>47690.3281274226</v>
      </c>
      <c r="D1016" s="0" t="n">
        <f aca="false">C1016-$C$3-B1016</f>
        <v>2073.32812742256</v>
      </c>
      <c r="E1016" s="0" t="n">
        <f aca="false">$E$1*B1016*86.4</f>
        <v>858602.592</v>
      </c>
      <c r="F1016" s="0" t="n">
        <f aca="false">$G$1*G1016</f>
        <v>298046.444321504</v>
      </c>
      <c r="G1016" s="0" t="n">
        <f aca="false">TANH($E$1*B1016*86.4/$G$1)</f>
        <v>0.993488147738348</v>
      </c>
      <c r="H1016" s="0" t="n">
        <f aca="false">COSH($E$1*B1016*86.4/$G$1)</f>
        <v>8.77689497523921</v>
      </c>
      <c r="I1016" s="0" t="n">
        <f aca="false">(($G$1^2*1000)/($E$1*$I$1))*(H1016-1)</f>
        <v>7.54139822459998</v>
      </c>
      <c r="J1016" s="0" t="n">
        <f aca="false">$J$3*EXP(-$E$1*B1016*86.4/$G$1)</f>
        <v>57.1538433947966</v>
      </c>
      <c r="K1016" s="0" t="n">
        <f aca="false">J1015-J1016</f>
        <v>0.161703932546864</v>
      </c>
    </row>
    <row r="1017" customFormat="false" ht="12.8" hidden="false" customHeight="false" outlineLevel="0" collapsed="false">
      <c r="A1017" s="0" t="n">
        <v>1</v>
      </c>
      <c r="B1017" s="0" t="n">
        <f aca="false">B1016+A1017</f>
        <v>1014</v>
      </c>
      <c r="C1017" s="0" t="n">
        <f aca="false">$C$3+($G$1/($E$1*86.4))*SINH($E$1*B1017*86.4/$G$1)</f>
        <v>47699.1173519376</v>
      </c>
      <c r="D1017" s="0" t="n">
        <f aca="false">C1017-$C$3-B1017</f>
        <v>2081.11735193761</v>
      </c>
      <c r="E1017" s="0" t="n">
        <f aca="false">$E$1*B1017*86.4</f>
        <v>859450.176</v>
      </c>
      <c r="F1017" s="0" t="n">
        <f aca="false">$G$1*G1017</f>
        <v>298057.416237871</v>
      </c>
      <c r="G1017" s="0" t="n">
        <f aca="false">TANH($E$1*B1017*86.4/$G$1)</f>
        <v>0.993524720792902</v>
      </c>
      <c r="H1017" s="0" t="n">
        <f aca="false">COSH($E$1*B1017*86.4/$G$1)</f>
        <v>8.80156574775865</v>
      </c>
      <c r="I1017" s="0" t="n">
        <f aca="false">(($G$1^2*1000)/($E$1*$I$1))*(H1017-1)</f>
        <v>7.56532192688348</v>
      </c>
      <c r="J1017" s="0" t="n">
        <f aca="false">$J$3*EXP(-$E$1*B1017*86.4/$G$1)</f>
        <v>56.9925956763665</v>
      </c>
      <c r="K1017" s="0" t="n">
        <f aca="false">J1016-J1017</f>
        <v>0.161247718430126</v>
      </c>
    </row>
    <row r="1018" customFormat="false" ht="12.8" hidden="false" customHeight="false" outlineLevel="0" collapsed="false">
      <c r="A1018" s="0" t="n">
        <v>1</v>
      </c>
      <c r="B1018" s="0" t="n">
        <f aca="false">B1017+A1018</f>
        <v>1015</v>
      </c>
      <c r="C1018" s="0" t="n">
        <f aca="false">$C$3+($G$1/($E$1*86.4))*SINH($E$1*B1018*86.4/$G$1)</f>
        <v>47707.9312823367</v>
      </c>
      <c r="D1018" s="0" t="n">
        <f aca="false">C1018-$C$3-B1018</f>
        <v>2088.93128233672</v>
      </c>
      <c r="E1018" s="0" t="n">
        <f aca="false">$E$1*B1018*86.4</f>
        <v>860297.76</v>
      </c>
      <c r="F1018" s="0" t="n">
        <f aca="false">$G$1*G1018</f>
        <v>298068.326730794</v>
      </c>
      <c r="G1018" s="0" t="n">
        <f aca="false">TANH($E$1*B1018*86.4/$G$1)</f>
        <v>0.993561089102648</v>
      </c>
      <c r="H1018" s="0" t="n">
        <f aca="false">COSH($E$1*B1018*86.4/$G$1)</f>
        <v>8.82630677624525</v>
      </c>
      <c r="I1018" s="0" t="n">
        <f aca="false">(($G$1^2*1000)/($E$1*$I$1))*(H1018-1)</f>
        <v>7.58931375767168</v>
      </c>
      <c r="J1018" s="0" t="n">
        <f aca="false">$J$3*EXP(-$E$1*B1018*86.4/$G$1)</f>
        <v>56.8318028849396</v>
      </c>
      <c r="K1018" s="0" t="n">
        <f aca="false">J1017-J1018</f>
        <v>0.160792791426864</v>
      </c>
    </row>
    <row r="1019" customFormat="false" ht="12.8" hidden="false" customHeight="false" outlineLevel="0" collapsed="false">
      <c r="A1019" s="0" t="n">
        <v>1</v>
      </c>
      <c r="B1019" s="0" t="n">
        <f aca="false">B1018+A1019</f>
        <v>1016</v>
      </c>
      <c r="C1019" s="0" t="n">
        <f aca="false">$C$3+($G$1/($E$1*86.4))*SINH($E$1*B1019*86.4/$G$1)</f>
        <v>47716.7699889746</v>
      </c>
      <c r="D1019" s="0" t="n">
        <f aca="false">C1019-$C$3-B1019</f>
        <v>2096.76998897458</v>
      </c>
      <c r="E1019" s="0" t="n">
        <f aca="false">$E$1*B1019*86.4</f>
        <v>861145.344</v>
      </c>
      <c r="F1019" s="0" t="n">
        <f aca="false">$G$1*G1019</f>
        <v>298079.176141909</v>
      </c>
      <c r="G1019" s="0" t="n">
        <f aca="false">TANH($E$1*B1019*86.4/$G$1)</f>
        <v>0.993597253806364</v>
      </c>
      <c r="H1019" s="0" t="n">
        <f aca="false">COSH($E$1*B1019*86.4/$G$1)</f>
        <v>8.85111825818713</v>
      </c>
      <c r="I1019" s="0" t="n">
        <f aca="false">(($G$1^2*1000)/($E$1*$I$1))*(H1019-1)</f>
        <v>7.61337390847248</v>
      </c>
      <c r="J1019" s="0" t="n">
        <f aca="false">$J$3*EXP(-$E$1*B1019*86.4/$G$1)</f>
        <v>56.6714637370337</v>
      </c>
      <c r="K1019" s="0" t="n">
        <f aca="false">J1018-J1019</f>
        <v>0.16033914790588</v>
      </c>
    </row>
    <row r="1020" customFormat="false" ht="12.8" hidden="false" customHeight="false" outlineLevel="0" collapsed="false">
      <c r="A1020" s="0" t="n">
        <v>1</v>
      </c>
      <c r="B1020" s="0" t="n">
        <f aca="false">B1019+A1020</f>
        <v>1017</v>
      </c>
      <c r="C1020" s="0" t="n">
        <f aca="false">$C$3+($G$1/($E$1*86.4))*SINH($E$1*B1020*86.4/$G$1)</f>
        <v>47725.6335424036</v>
      </c>
      <c r="D1020" s="0" t="n">
        <f aca="false">C1020-$C$3-B1020</f>
        <v>2104.63354240359</v>
      </c>
      <c r="E1020" s="0" t="n">
        <f aca="false">$E$1*B1020*86.4</f>
        <v>861992.928</v>
      </c>
      <c r="F1020" s="0" t="n">
        <f aca="false">$G$1*G1020</f>
        <v>298089.964810973</v>
      </c>
      <c r="G1020" s="0" t="n">
        <f aca="false">TANH($E$1*B1020*86.4/$G$1)</f>
        <v>0.993633216036578</v>
      </c>
      <c r="H1020" s="0" t="n">
        <f aca="false">COSH($E$1*B1020*86.4/$G$1)</f>
        <v>8.87600039163482</v>
      </c>
      <c r="I1020" s="0" t="n">
        <f aca="false">(($G$1^2*1000)/($E$1*$I$1))*(H1020-1)</f>
        <v>7.6375025713391</v>
      </c>
      <c r="J1020" s="0" t="n">
        <f aca="false">$J$3*EXP(-$E$1*B1020*86.4/$G$1)</f>
        <v>56.5115769527878</v>
      </c>
      <c r="K1020" s="0" t="n">
        <f aca="false">J1019-J1020</f>
        <v>0.159886784245955</v>
      </c>
    </row>
    <row r="1021" customFormat="false" ht="12.8" hidden="false" customHeight="false" outlineLevel="0" collapsed="false">
      <c r="A1021" s="0" t="n">
        <v>1</v>
      </c>
      <c r="B1021" s="0" t="n">
        <f aca="false">B1020+A1021</f>
        <v>1018</v>
      </c>
      <c r="C1021" s="0" t="n">
        <f aca="false">$C$3+($G$1/($E$1*86.4))*SINH($E$1*B1021*86.4/$G$1)</f>
        <v>47734.5220133745</v>
      </c>
      <c r="D1021" s="0" t="n">
        <f aca="false">C1021-$C$3-B1021</f>
        <v>2112.52201337455</v>
      </c>
      <c r="E1021" s="0" t="n">
        <f aca="false">$E$1*B1021*86.4</f>
        <v>862840.512</v>
      </c>
      <c r="F1021" s="0" t="n">
        <f aca="false">$G$1*G1021</f>
        <v>298100.693075881</v>
      </c>
      <c r="G1021" s="0" t="n">
        <f aca="false">TANH($E$1*B1021*86.4/$G$1)</f>
        <v>0.993668976919602</v>
      </c>
      <c r="H1021" s="0" t="n">
        <f aca="false">COSH($E$1*B1021*86.4/$G$1)</f>
        <v>8.9009533752028</v>
      </c>
      <c r="I1021" s="0" t="n">
        <f aca="false">(($G$1^2*1000)/($E$1*$I$1))*(H1021-1)</f>
        <v>7.66169993887166</v>
      </c>
      <c r="J1021" s="0" t="n">
        <f aca="false">$J$3*EXP(-$E$1*B1021*86.4/$G$1)</f>
        <v>56.3521412559514</v>
      </c>
      <c r="K1021" s="0" t="n">
        <f aca="false">J1020-J1021</f>
        <v>0.159435696836347</v>
      </c>
    </row>
    <row r="1022" customFormat="false" ht="12.8" hidden="false" customHeight="false" outlineLevel="0" collapsed="false">
      <c r="A1022" s="0" t="n">
        <v>1</v>
      </c>
      <c r="B1022" s="0" t="n">
        <f aca="false">B1021+A1022</f>
        <v>1019</v>
      </c>
      <c r="C1022" s="0" t="n">
        <f aca="false">$C$3+($G$1/($E$1*86.4))*SINH($E$1*B1022*86.4/$G$1)</f>
        <v>47743.4354728371</v>
      </c>
      <c r="D1022" s="0" t="n">
        <f aca="false">C1022-$C$3-B1022</f>
        <v>2120.4354728371</v>
      </c>
      <c r="E1022" s="0" t="n">
        <f aca="false">$E$1*B1022*86.4</f>
        <v>863688.096</v>
      </c>
      <c r="F1022" s="0" t="n">
        <f aca="false">$G$1*G1022</f>
        <v>298111.361272669</v>
      </c>
      <c r="G1022" s="0" t="n">
        <f aca="false">TANH($E$1*B1022*86.4/$G$1)</f>
        <v>0.993704537575564</v>
      </c>
      <c r="H1022" s="0" t="n">
        <f aca="false">COSH($E$1*B1022*86.4/$G$1)</f>
        <v>8.92597740807107</v>
      </c>
      <c r="I1022" s="0" t="n">
        <f aca="false">(($G$1^2*1000)/($E$1*$I$1))*(H1022-1)</f>
        <v>7.68596620421869</v>
      </c>
      <c r="J1022" s="0" t="n">
        <f aca="false">$J$3*EXP(-$E$1*B1022*86.4/$G$1)</f>
        <v>56.1931553738751</v>
      </c>
      <c r="K1022" s="0" t="n">
        <f aca="false">J1021-J1022</f>
        <v>0.15898588207633</v>
      </c>
    </row>
    <row r="1023" customFormat="false" ht="12.8" hidden="false" customHeight="false" outlineLevel="0" collapsed="false">
      <c r="A1023" s="0" t="n">
        <v>1</v>
      </c>
      <c r="B1023" s="0" t="n">
        <f aca="false">B1022+A1023</f>
        <v>1020</v>
      </c>
      <c r="C1023" s="0" t="n">
        <f aca="false">$C$3+($G$1/($E$1*86.4))*SINH($E$1*B1023*86.4/$G$1)</f>
        <v>47752.3739919404</v>
      </c>
      <c r="D1023" s="0" t="n">
        <f aca="false">C1023-$C$3-B1023</f>
        <v>2128.37399194037</v>
      </c>
      <c r="E1023" s="0" t="n">
        <f aca="false">$E$1*B1023*86.4</f>
        <v>864535.68</v>
      </c>
      <c r="F1023" s="0" t="n">
        <f aca="false">$G$1*G1023</f>
        <v>298121.969735532</v>
      </c>
      <c r="G1023" s="0" t="n">
        <f aca="false">TANH($E$1*B1023*86.4/$G$1)</f>
        <v>0.993739899118439</v>
      </c>
      <c r="H1023" s="0" t="n">
        <f aca="false">COSH($E$1*B1023*86.4/$G$1)</f>
        <v>8.95107268998678</v>
      </c>
      <c r="I1023" s="0" t="n">
        <f aca="false">(($G$1^2*1000)/($E$1*$I$1))*(H1023-1)</f>
        <v>7.71030156107867</v>
      </c>
      <c r="J1023" s="0" t="n">
        <f aca="false">$J$3*EXP(-$E$1*B1023*86.4/$G$1)</f>
        <v>56.0346180374997</v>
      </c>
      <c r="K1023" s="0" t="n">
        <f aca="false">J1022-J1023</f>
        <v>0.158537336375382</v>
      </c>
    </row>
    <row r="1024" customFormat="false" ht="12.8" hidden="false" customHeight="false" outlineLevel="0" collapsed="false">
      <c r="A1024" s="0" t="n">
        <v>1</v>
      </c>
      <c r="B1024" s="0" t="n">
        <f aca="false">B1023+A1024</f>
        <v>1021</v>
      </c>
      <c r="C1024" s="0" t="n">
        <f aca="false">$C$3+($G$1/($E$1*86.4))*SINH($E$1*B1024*86.4/$G$1)</f>
        <v>47761.3376420335</v>
      </c>
      <c r="D1024" s="0" t="n">
        <f aca="false">C1024-$C$3-B1024</f>
        <v>2136.33764203352</v>
      </c>
      <c r="E1024" s="0" t="n">
        <f aca="false">$E$1*B1024*86.4</f>
        <v>865383.264</v>
      </c>
      <c r="F1024" s="0" t="n">
        <f aca="false">$G$1*G1024</f>
        <v>298132.518796826</v>
      </c>
      <c r="G1024" s="0" t="n">
        <f aca="false">TANH($E$1*B1024*86.4/$G$1)</f>
        <v>0.993775062656086</v>
      </c>
      <c r="H1024" s="0" t="n">
        <f aca="false">COSH($E$1*B1024*86.4/$G$1)</f>
        <v>8.97623942126581</v>
      </c>
      <c r="I1024" s="0" t="n">
        <f aca="false">(($G$1^2*1000)/($E$1*$I$1))*(H1024-1)</f>
        <v>7.73470620370158</v>
      </c>
      <c r="J1024" s="0" t="n">
        <f aca="false">$J$3*EXP(-$E$1*B1024*86.4/$G$1)</f>
        <v>55.8765279813466</v>
      </c>
      <c r="K1024" s="0" t="n">
        <f aca="false">J1023-J1024</f>
        <v>0.158090056153092</v>
      </c>
    </row>
    <row r="1025" customFormat="false" ht="12.8" hidden="false" customHeight="false" outlineLevel="0" collapsed="false">
      <c r="A1025" s="0" t="n">
        <v>1</v>
      </c>
      <c r="B1025" s="0" t="n">
        <f aca="false">B1024+A1025</f>
        <v>1022</v>
      </c>
      <c r="C1025" s="0" t="n">
        <f aca="false">$C$3+($G$1/($E$1*86.4))*SINH($E$1*B1025*86.4/$G$1)</f>
        <v>47770.3264946663</v>
      </c>
      <c r="D1025" s="0" t="n">
        <f aca="false">C1025-$C$3-B1025</f>
        <v>2144.32649466631</v>
      </c>
      <c r="E1025" s="0" t="n">
        <f aca="false">$E$1*B1025*86.4</f>
        <v>866230.848</v>
      </c>
      <c r="F1025" s="0" t="n">
        <f aca="false">$G$1*G1025</f>
        <v>298143.008787084</v>
      </c>
      <c r="G1025" s="0" t="n">
        <f aca="false">TANH($E$1*B1025*86.4/$G$1)</f>
        <v>0.993810029290278</v>
      </c>
      <c r="H1025" s="0" t="n">
        <f aca="false">COSH($E$1*B1025*86.4/$G$1)</f>
        <v>9.00147780279433</v>
      </c>
      <c r="I1025" s="0" t="n">
        <f aca="false">(($G$1^2*1000)/($E$1*$I$1))*(H1025-1)</f>
        <v>7.75918032689046</v>
      </c>
      <c r="J1025" s="0" t="n">
        <f aca="false">$J$3*EXP(-$E$1*B1025*86.4/$G$1)</f>
        <v>55.7188839435074</v>
      </c>
      <c r="K1025" s="0" t="n">
        <f aca="false">J1024-J1025</f>
        <v>0.157644037839248</v>
      </c>
    </row>
    <row r="1026" customFormat="false" ht="12.8" hidden="false" customHeight="false" outlineLevel="0" collapsed="false">
      <c r="A1026" s="0" t="n">
        <v>1</v>
      </c>
      <c r="B1026" s="0" t="n">
        <f aca="false">B1025+A1026</f>
        <v>1023</v>
      </c>
      <c r="C1026" s="0" t="n">
        <f aca="false">$C$3+($G$1/($E$1*86.4))*SINH($E$1*B1026*86.4/$G$1)</f>
        <v>47779.3406215897</v>
      </c>
      <c r="D1026" s="0" t="n">
        <f aca="false">C1026-$C$3-B1026</f>
        <v>2152.34062158967</v>
      </c>
      <c r="E1026" s="0" t="n">
        <f aca="false">$E$1*B1026*86.4</f>
        <v>867078.432</v>
      </c>
      <c r="F1026" s="0" t="n">
        <f aca="false">$G$1*G1026</f>
        <v>298153.44003502</v>
      </c>
      <c r="G1026" s="0" t="n">
        <f aca="false">TANH($E$1*B1026*86.4/$G$1)</f>
        <v>0.993844800116735</v>
      </c>
      <c r="H1026" s="0" t="n">
        <f aca="false">COSH($E$1*B1026*86.4/$G$1)</f>
        <v>9.0267880360305</v>
      </c>
      <c r="I1026" s="0" t="n">
        <f aca="false">(($G$1^2*1000)/($E$1*$I$1))*(H1026-1)</f>
        <v>7.78372412600298</v>
      </c>
      <c r="J1026" s="0" t="n">
        <f aca="false">$J$3*EXP(-$E$1*B1026*86.4/$G$1)</f>
        <v>55.5616846656337</v>
      </c>
      <c r="K1026" s="0" t="n">
        <f aca="false">J1025-J1026</f>
        <v>0.15719927787363</v>
      </c>
    </row>
    <row r="1027" customFormat="false" ht="12.8" hidden="false" customHeight="false" outlineLevel="0" collapsed="false">
      <c r="A1027" s="0" t="n">
        <v>1</v>
      </c>
      <c r="B1027" s="0" t="n">
        <f aca="false">B1026+A1027</f>
        <v>1024</v>
      </c>
      <c r="C1027" s="0" t="n">
        <f aca="false">$C$3+($G$1/($E$1*86.4))*SINH($E$1*B1027*86.4/$G$1)</f>
        <v>47788.3800947563</v>
      </c>
      <c r="D1027" s="0" t="n">
        <f aca="false">C1027-$C$3-B1027</f>
        <v>2160.38009475628</v>
      </c>
      <c r="E1027" s="0" t="n">
        <f aca="false">$E$1*B1027*86.4</f>
        <v>867926.016</v>
      </c>
      <c r="F1027" s="0" t="n">
        <f aca="false">$G$1*G1027</f>
        <v>298163.812867547</v>
      </c>
      <c r="G1027" s="0" t="n">
        <f aca="false">TANH($E$1*B1027*86.4/$G$1)</f>
        <v>0.993879376225156</v>
      </c>
      <c r="H1027" s="0" t="n">
        <f aca="false">COSH($E$1*B1027*86.4/$G$1)</f>
        <v>9.05217032300594</v>
      </c>
      <c r="I1027" s="0" t="n">
        <f aca="false">(($G$1^2*1000)/($E$1*$I$1))*(H1027-1)</f>
        <v>7.80833779695293</v>
      </c>
      <c r="J1027" s="0" t="n">
        <f aca="false">$J$3*EXP(-$E$1*B1027*86.4/$G$1)</f>
        <v>55.4049288929278</v>
      </c>
      <c r="K1027" s="0" t="n">
        <f aca="false">J1026-J1027</f>
        <v>0.156755772705949</v>
      </c>
    </row>
    <row r="1028" customFormat="false" ht="12.8" hidden="false" customHeight="false" outlineLevel="0" collapsed="false">
      <c r="A1028" s="0" t="n">
        <v>1</v>
      </c>
      <c r="B1028" s="0" t="n">
        <f aca="false">B1027+A1028</f>
        <v>1025</v>
      </c>
      <c r="C1028" s="0" t="n">
        <f aca="false">$C$3+($G$1/($E$1*86.4))*SINH($E$1*B1028*86.4/$G$1)</f>
        <v>47797.4449863211</v>
      </c>
      <c r="D1028" s="0" t="n">
        <f aca="false">C1028-$C$3-B1028</f>
        <v>2168.44498632113</v>
      </c>
      <c r="E1028" s="0" t="n">
        <f aca="false">$E$1*B1028*86.4</f>
        <v>868773.6</v>
      </c>
      <c r="F1028" s="0" t="n">
        <f aca="false">$G$1*G1028</f>
        <v>298174.127609776</v>
      </c>
      <c r="G1028" s="0" t="n">
        <f aca="false">TANH($E$1*B1028*86.4/$G$1)</f>
        <v>0.993913758699253</v>
      </c>
      <c r="H1028" s="0" t="n">
        <f aca="false">COSH($E$1*B1028*86.4/$G$1)</f>
        <v>9.07762486632748</v>
      </c>
      <c r="I1028" s="0" t="n">
        <f aca="false">(($G$1^2*1000)/($E$1*$I$1))*(H1028-1)</f>
        <v>7.83302153621188</v>
      </c>
      <c r="J1028" s="0" t="n">
        <f aca="false">$J$3*EXP(-$E$1*B1028*86.4/$G$1)</f>
        <v>55.2486153741316</v>
      </c>
      <c r="K1028" s="0" t="n">
        <f aca="false">J1027-J1028</f>
        <v>0.156313518796196</v>
      </c>
    </row>
    <row r="1029" customFormat="false" ht="12.8" hidden="false" customHeight="false" outlineLevel="0" collapsed="false">
      <c r="A1029" s="0" t="n">
        <v>1</v>
      </c>
      <c r="B1029" s="0" t="n">
        <f aca="false">B1028+A1029</f>
        <v>1026</v>
      </c>
      <c r="C1029" s="0" t="n">
        <f aca="false">$C$3+($G$1/($E$1*86.4))*SINH($E$1*B1029*86.4/$G$1)</f>
        <v>47806.5353686421</v>
      </c>
      <c r="D1029" s="0" t="n">
        <f aca="false">C1029-$C$3-B1029</f>
        <v>2176.5353686421</v>
      </c>
      <c r="E1029" s="0" t="n">
        <f aca="false">$E$1*B1029*86.4</f>
        <v>869621.184</v>
      </c>
      <c r="F1029" s="0" t="n">
        <f aca="false">$G$1*G1029</f>
        <v>298184.384585034</v>
      </c>
      <c r="G1029" s="0" t="n">
        <f aca="false">TANH($E$1*B1029*86.4/$G$1)</f>
        <v>0.993947948616781</v>
      </c>
      <c r="H1029" s="0" t="n">
        <f aca="false">COSH($E$1*B1029*86.4/$G$1)</f>
        <v>9.10315186917868</v>
      </c>
      <c r="I1029" s="0" t="n">
        <f aca="false">(($G$1^2*1000)/($E$1*$I$1))*(H1029-1)</f>
        <v>7.85777554081068</v>
      </c>
      <c r="J1029" s="0" t="n">
        <f aca="false">$J$3*EXP(-$E$1*B1029*86.4/$G$1)</f>
        <v>55.0927428615174</v>
      </c>
      <c r="K1029" s="0" t="n">
        <f aca="false">J1028-J1029</f>
        <v>0.155872512614138</v>
      </c>
    </row>
    <row r="1030" customFormat="false" ht="12.8" hidden="false" customHeight="false" outlineLevel="0" collapsed="false">
      <c r="A1030" s="0" t="n">
        <v>1</v>
      </c>
      <c r="B1030" s="0" t="n">
        <f aca="false">B1029+A1030</f>
        <v>1027</v>
      </c>
      <c r="C1030" s="0" t="n">
        <f aca="false">$C$3+($G$1/($E$1*86.4))*SINH($E$1*B1030*86.4/$G$1)</f>
        <v>47815.6513142806</v>
      </c>
      <c r="D1030" s="0" t="n">
        <f aca="false">C1030-$C$3-B1030</f>
        <v>2184.65131428057</v>
      </c>
      <c r="E1030" s="0" t="n">
        <f aca="false">$E$1*B1030*86.4</f>
        <v>870468.768</v>
      </c>
      <c r="F1030" s="0" t="n">
        <f aca="false">$G$1*G1030</f>
        <v>298194.584114871</v>
      </c>
      <c r="G1030" s="0" t="n">
        <f aca="false">TANH($E$1*B1030*86.4/$G$1)</f>
        <v>0.993981947049571</v>
      </c>
      <c r="H1030" s="0" t="n">
        <f aca="false">COSH($E$1*B1030*86.4/$G$1)</f>
        <v>9.12875153532149</v>
      </c>
      <c r="I1030" s="0" t="n">
        <f aca="false">(($G$1^2*1000)/($E$1*$I$1))*(H1030-1)</f>
        <v>7.88260000834102</v>
      </c>
      <c r="J1030" s="0" t="n">
        <f aca="false">$J$3*EXP(-$E$1*B1030*86.4/$G$1)</f>
        <v>54.9373101108779</v>
      </c>
      <c r="K1030" s="0" t="n">
        <f aca="false">J1029-J1030</f>
        <v>0.155432750639555</v>
      </c>
    </row>
    <row r="1031" customFormat="false" ht="12.8" hidden="false" customHeight="false" outlineLevel="0" collapsed="false">
      <c r="A1031" s="0" t="n">
        <v>1</v>
      </c>
      <c r="B1031" s="0" t="n">
        <f aca="false">B1030+A1031</f>
        <v>1028</v>
      </c>
      <c r="C1031" s="0" t="n">
        <f aca="false">$C$3+($G$1/($E$1*86.4))*SINH($E$1*B1031*86.4/$G$1)</f>
        <v>47824.792896002</v>
      </c>
      <c r="D1031" s="0" t="n">
        <f aca="false">C1031-$C$3-B1031</f>
        <v>2192.79289600195</v>
      </c>
      <c r="E1031" s="0" t="n">
        <f aca="false">$E$1*B1031*86.4</f>
        <v>871316.352</v>
      </c>
      <c r="F1031" s="0" t="n">
        <f aca="false">$G$1*G1031</f>
        <v>298204.726519068</v>
      </c>
      <c r="G1031" s="0" t="n">
        <f aca="false">TANH($E$1*B1031*86.4/$G$1)</f>
        <v>0.994015755063561</v>
      </c>
      <c r="H1031" s="0" t="n">
        <f aca="false">COSH($E$1*B1031*86.4/$G$1)</f>
        <v>9.1544240690979</v>
      </c>
      <c r="I1031" s="0" t="n">
        <f aca="false">(($G$1^2*1000)/($E$1*$I$1))*(H1031-1)</f>
        <v>7.90749513695711</v>
      </c>
      <c r="J1031" s="0" t="n">
        <f aca="false">$J$3*EXP(-$E$1*B1031*86.4/$G$1)</f>
        <v>54.7823158815157</v>
      </c>
      <c r="K1031" s="0" t="n">
        <f aca="false">J1030-J1031</f>
        <v>0.154994229362224</v>
      </c>
    </row>
    <row r="1032" customFormat="false" ht="12.8" hidden="false" customHeight="false" outlineLevel="0" collapsed="false">
      <c r="A1032" s="0" t="n">
        <v>1</v>
      </c>
      <c r="B1032" s="0" t="n">
        <f aca="false">B1031+A1032</f>
        <v>1029</v>
      </c>
      <c r="C1032" s="0" t="n">
        <f aca="false">$C$3+($G$1/($E$1*86.4))*SINH($E$1*B1032*86.4/$G$1)</f>
        <v>47833.9601867763</v>
      </c>
      <c r="D1032" s="0" t="n">
        <f aca="false">C1032-$C$3-B1032</f>
        <v>2200.96018677628</v>
      </c>
      <c r="E1032" s="0" t="n">
        <f aca="false">$E$1*B1032*86.4</f>
        <v>872163.936</v>
      </c>
      <c r="F1032" s="0" t="n">
        <f aca="false">$G$1*G1032</f>
        <v>298214.812115649</v>
      </c>
      <c r="G1032" s="0" t="n">
        <f aca="false">TANH($E$1*B1032*86.4/$G$1)</f>
        <v>0.994049373718829</v>
      </c>
      <c r="H1032" s="0" t="n">
        <f aca="false">COSH($E$1*B1032*86.4/$G$1)</f>
        <v>9.18016967543152</v>
      </c>
      <c r="I1032" s="0" t="n">
        <f aca="false">(($G$1^2*1000)/($E$1*$I$1))*(H1032-1)</f>
        <v>7.93246112537714</v>
      </c>
      <c r="J1032" s="0" t="n">
        <f aca="false">$J$3*EXP(-$E$1*B1032*86.4/$G$1)</f>
        <v>54.6277589362339</v>
      </c>
      <c r="K1032" s="0" t="n">
        <f aca="false">J1031-J1032</f>
        <v>0.154556945281747</v>
      </c>
    </row>
    <row r="1033" customFormat="false" ht="12.8" hidden="false" customHeight="false" outlineLevel="0" collapsed="false">
      <c r="A1033" s="0" t="n">
        <v>1</v>
      </c>
      <c r="B1033" s="0" t="n">
        <f aca="false">B1032+A1033</f>
        <v>1030</v>
      </c>
      <c r="C1033" s="0" t="n">
        <f aca="false">$C$3+($G$1/($E$1*86.4))*SINH($E$1*B1033*86.4/$G$1)</f>
        <v>47843.1532597788</v>
      </c>
      <c r="D1033" s="0" t="n">
        <f aca="false">C1033-$C$3-B1033</f>
        <v>2209.15325977882</v>
      </c>
      <c r="E1033" s="0" t="n">
        <f aca="false">$E$1*B1033*86.4</f>
        <v>873011.52</v>
      </c>
      <c r="F1033" s="0" t="n">
        <f aca="false">$G$1*G1033</f>
        <v>298224.841220887</v>
      </c>
      <c r="G1033" s="0" t="n">
        <f aca="false">TANH($E$1*B1033*86.4/$G$1)</f>
        <v>0.994082804069622</v>
      </c>
      <c r="H1033" s="0" t="n">
        <f aca="false">COSH($E$1*B1033*86.4/$G$1)</f>
        <v>9.20598855982925</v>
      </c>
      <c r="I1033" s="0" t="n">
        <f aca="false">(($G$1^2*1000)/($E$1*$I$1))*(H1033-1)</f>
        <v>7.95749817288494</v>
      </c>
      <c r="J1033" s="0" t="n">
        <f aca="false">$J$3*EXP(-$E$1*B1033*86.4/$G$1)</f>
        <v>54.4736380413262</v>
      </c>
      <c r="K1033" s="0" t="n">
        <f aca="false">J1032-J1033</f>
        <v>0.154120894907685</v>
      </c>
    </row>
    <row r="1034" customFormat="false" ht="12.8" hidden="false" customHeight="false" outlineLevel="0" collapsed="false">
      <c r="A1034" s="0" t="n">
        <v>1</v>
      </c>
      <c r="B1034" s="0" t="n">
        <f aca="false">B1033+A1034</f>
        <v>1031</v>
      </c>
      <c r="C1034" s="0" t="n">
        <f aca="false">$C$3+($G$1/($E$1*86.4))*SINH($E$1*B1034*86.4/$G$1)</f>
        <v>47852.3721883907</v>
      </c>
      <c r="D1034" s="0" t="n">
        <f aca="false">C1034-$C$3-B1034</f>
        <v>2217.37218839065</v>
      </c>
      <c r="E1034" s="0" t="n">
        <f aca="false">$E$1*B1034*86.4</f>
        <v>873859.104</v>
      </c>
      <c r="F1034" s="0" t="n">
        <f aca="false">$G$1*G1034</f>
        <v>298234.814149317</v>
      </c>
      <c r="G1034" s="0" t="n">
        <f aca="false">TANH($E$1*B1034*86.4/$G$1)</f>
        <v>0.994116047164391</v>
      </c>
      <c r="H1034" s="0" t="n">
        <f aca="false">COSH($E$1*B1034*86.4/$G$1)</f>
        <v>9.2318809283829</v>
      </c>
      <c r="I1034" s="0" t="n">
        <f aca="false">(($G$1^2*1000)/($E$1*$I$1))*(H1034-1)</f>
        <v>7.98260647933152</v>
      </c>
      <c r="J1034" s="0" t="n">
        <f aca="false">$J$3*EXP(-$E$1*B1034*86.4/$G$1)</f>
        <v>54.319951966567</v>
      </c>
      <c r="K1034" s="0" t="n">
        <f aca="false">J1033-J1034</f>
        <v>0.15368607475925</v>
      </c>
    </row>
    <row r="1035" customFormat="false" ht="12.8" hidden="false" customHeight="false" outlineLevel="0" collapsed="false">
      <c r="A1035" s="0" t="n">
        <v>1</v>
      </c>
      <c r="B1035" s="0" t="n">
        <f aca="false">B1034+A1035</f>
        <v>1032</v>
      </c>
      <c r="C1035" s="0" t="n">
        <f aca="false">$C$3+($G$1/($E$1*86.4))*SINH($E$1*B1035*86.4/$G$1)</f>
        <v>47861.6170461992</v>
      </c>
      <c r="D1035" s="0" t="n">
        <f aca="false">C1035-$C$3-B1035</f>
        <v>2225.6170461992</v>
      </c>
      <c r="E1035" s="0" t="n">
        <f aca="false">$E$1*B1035*86.4</f>
        <v>874706.688</v>
      </c>
      <c r="F1035" s="0" t="n">
        <f aca="false">$G$1*G1035</f>
        <v>298244.731213745</v>
      </c>
      <c r="G1035" s="0" t="n">
        <f aca="false">TANH($E$1*B1035*86.4/$G$1)</f>
        <v>0.994149104045816</v>
      </c>
      <c r="H1035" s="0" t="n">
        <f aca="false">COSH($E$1*B1035*86.4/$G$1)</f>
        <v>9.25784698777087</v>
      </c>
      <c r="I1035" s="0" t="n">
        <f aca="false">(($G$1^2*1000)/($E$1*$I$1))*(H1035-1)</f>
        <v>8.00778624513674</v>
      </c>
      <c r="J1035" s="0" t="n">
        <f aca="false">$J$3*EXP(-$E$1*B1035*86.4/$G$1)</f>
        <v>54.1666994852012</v>
      </c>
      <c r="K1035" s="0" t="n">
        <f aca="false">J1034-J1035</f>
        <v>0.153252481365755</v>
      </c>
    </row>
    <row r="1036" customFormat="false" ht="12.8" hidden="false" customHeight="false" outlineLevel="0" collapsed="false">
      <c r="A1036" s="0" t="n">
        <v>1</v>
      </c>
      <c r="B1036" s="0" t="n">
        <f aca="false">B1035+A1036</f>
        <v>1033</v>
      </c>
      <c r="C1036" s="0" t="n">
        <f aca="false">$C$3+($G$1/($E$1*86.4))*SINH($E$1*B1036*86.4/$G$1)</f>
        <v>47870.8879069989</v>
      </c>
      <c r="D1036" s="0" t="n">
        <f aca="false">C1036-$C$3-B1036</f>
        <v>2233.88790699889</v>
      </c>
      <c r="E1036" s="0" t="n">
        <f aca="false">$E$1*B1036*86.4</f>
        <v>875554.272</v>
      </c>
      <c r="F1036" s="0" t="n">
        <f aca="false">$G$1*G1036</f>
        <v>298254.592725254</v>
      </c>
      <c r="G1036" s="0" t="n">
        <f aca="false">TANH($E$1*B1036*86.4/$G$1)</f>
        <v>0.994181975750845</v>
      </c>
      <c r="H1036" s="0" t="n">
        <f aca="false">COSH($E$1*B1036*86.4/$G$1)</f>
        <v>9.28388694525975</v>
      </c>
      <c r="I1036" s="0" t="n">
        <f aca="false">(($G$1^2*1000)/($E$1*$I$1))*(H1036-1)</f>
        <v>8.03303767129082</v>
      </c>
      <c r="J1036" s="0" t="n">
        <f aca="false">$J$3*EXP(-$E$1*B1036*86.4/$G$1)</f>
        <v>54.0138793739351</v>
      </c>
      <c r="K1036" s="0" t="n">
        <f aca="false">J1035-J1036</f>
        <v>0.152820111266138</v>
      </c>
    </row>
    <row r="1037" customFormat="false" ht="12.8" hidden="false" customHeight="false" outlineLevel="0" collapsed="false">
      <c r="A1037" s="0" t="n">
        <v>1</v>
      </c>
      <c r="B1037" s="0" t="n">
        <f aca="false">B1036+A1037</f>
        <v>1034</v>
      </c>
      <c r="C1037" s="0" t="n">
        <f aca="false">$C$3+($G$1/($E$1*86.4))*SINH($E$1*B1037*86.4/$G$1)</f>
        <v>47880.1848447917</v>
      </c>
      <c r="D1037" s="0" t="n">
        <f aca="false">C1037-$C$3-B1037</f>
        <v>2242.1848447917</v>
      </c>
      <c r="E1037" s="0" t="n">
        <f aca="false">$E$1*B1037*86.4</f>
        <v>876401.856</v>
      </c>
      <c r="F1037" s="0" t="n">
        <f aca="false">$G$1*G1037</f>
        <v>298264.398993215</v>
      </c>
      <c r="G1037" s="0" t="n">
        <f aca="false">TANH($E$1*B1037*86.4/$G$1)</f>
        <v>0.994214663310717</v>
      </c>
      <c r="H1037" s="0" t="n">
        <f aca="false">COSH($E$1*B1037*86.4/$G$1)</f>
        <v>9.31000100870601</v>
      </c>
      <c r="I1037" s="0" t="n">
        <f aca="false">(($G$1^2*1000)/($E$1*$I$1))*(H1037-1)</f>
        <v>8.05836095935601</v>
      </c>
      <c r="J1037" s="0" t="n">
        <f aca="false">$J$3*EXP(-$E$1*B1037*86.4/$G$1)</f>
        <v>53.8614904129261</v>
      </c>
      <c r="K1037" s="0" t="n">
        <f aca="false">J1036-J1037</f>
        <v>0.152388961009024</v>
      </c>
    </row>
    <row r="1038" customFormat="false" ht="12.8" hidden="false" customHeight="false" outlineLevel="0" collapsed="false">
      <c r="A1038" s="0" t="n">
        <v>1</v>
      </c>
      <c r="B1038" s="0" t="n">
        <f aca="false">B1037+A1038</f>
        <v>1035</v>
      </c>
      <c r="C1038" s="0" t="n">
        <f aca="false">$C$3+($G$1/($E$1*86.4))*SINH($E$1*B1038*86.4/$G$1)</f>
        <v>47889.5079337878</v>
      </c>
      <c r="D1038" s="0" t="n">
        <f aca="false">C1038-$C$3-B1038</f>
        <v>2250.50793378776</v>
      </c>
      <c r="E1038" s="0" t="n">
        <f aca="false">$E$1*B1038*86.4</f>
        <v>877249.44</v>
      </c>
      <c r="F1038" s="0" t="n">
        <f aca="false">$G$1*G1038</f>
        <v>298274.1503253</v>
      </c>
      <c r="G1038" s="0" t="n">
        <f aca="false">TANH($E$1*B1038*86.4/$G$1)</f>
        <v>0.994247167750999</v>
      </c>
      <c r="H1038" s="0" t="n">
        <f aca="false">COSH($E$1*B1038*86.4/$G$1)</f>
        <v>9.33618938655766</v>
      </c>
      <c r="I1038" s="0" t="n">
        <f aca="false">(($G$1^2*1000)/($E$1*$I$1))*(H1038-1)</f>
        <v>8.08375631146818</v>
      </c>
      <c r="J1038" s="0" t="n">
        <f aca="false">$J$3*EXP(-$E$1*B1038*86.4/$G$1)</f>
        <v>53.7095313857731</v>
      </c>
      <c r="K1038" s="0" t="n">
        <f aca="false">J1037-J1038</f>
        <v>0.151959027153012</v>
      </c>
    </row>
    <row r="1039" customFormat="false" ht="12.8" hidden="false" customHeight="false" outlineLevel="0" collapsed="false">
      <c r="A1039" s="0" t="n">
        <v>1</v>
      </c>
      <c r="B1039" s="0" t="n">
        <f aca="false">B1038+A1039</f>
        <v>1036</v>
      </c>
      <c r="C1039" s="0" t="n">
        <f aca="false">$C$3+($G$1/($E$1*86.4))*SINH($E$1*B1039*86.4/$G$1)</f>
        <v>47898.857248406</v>
      </c>
      <c r="D1039" s="0" t="n">
        <f aca="false">C1039-$C$3-B1039</f>
        <v>2258.85724840596</v>
      </c>
      <c r="E1039" s="0" t="n">
        <f aca="false">$E$1*B1039*86.4</f>
        <v>878097.024</v>
      </c>
      <c r="F1039" s="0" t="n">
        <f aca="false">$G$1*G1039</f>
        <v>298283.847027483</v>
      </c>
      <c r="G1039" s="0" t="n">
        <f aca="false">TANH($E$1*B1039*86.4/$G$1)</f>
        <v>0.99427949009161</v>
      </c>
      <c r="H1039" s="0" t="n">
        <f aca="false">COSH($E$1*B1039*86.4/$G$1)</f>
        <v>9.36245228785588</v>
      </c>
      <c r="I1039" s="0" t="n">
        <f aca="false">(($G$1^2*1000)/($E$1*$I$1))*(H1039-1)</f>
        <v>8.10922393033842</v>
      </c>
      <c r="J1039" s="0" t="n">
        <f aca="false">$J$3*EXP(-$E$1*B1039*86.4/$G$1)</f>
        <v>53.5580010795068</v>
      </c>
      <c r="K1039" s="0" t="n">
        <f aca="false">J1038-J1039</f>
        <v>0.151530306266253</v>
      </c>
    </row>
    <row r="1040" customFormat="false" ht="12.8" hidden="false" customHeight="false" outlineLevel="0" collapsed="false">
      <c r="A1040" s="0" t="n">
        <v>1</v>
      </c>
      <c r="B1040" s="0" t="n">
        <f aca="false">B1039+A1040</f>
        <v>1037</v>
      </c>
      <c r="C1040" s="0" t="n">
        <f aca="false">$C$3+($G$1/($E$1*86.4))*SINH($E$1*B1040*86.4/$G$1)</f>
        <v>47908.2328632745</v>
      </c>
      <c r="D1040" s="0" t="n">
        <f aca="false">C1040-$C$3-B1040</f>
        <v>2267.23286327449</v>
      </c>
      <c r="E1040" s="0" t="n">
        <f aca="false">$E$1*B1040*86.4</f>
        <v>878944.608</v>
      </c>
      <c r="F1040" s="0" t="n">
        <f aca="false">$G$1*G1040</f>
        <v>298293.489404058</v>
      </c>
      <c r="G1040" s="0" t="n">
        <f aca="false">TANH($E$1*B1040*86.4/$G$1)</f>
        <v>0.994311631346859</v>
      </c>
      <c r="H1040" s="0" t="n">
        <f aca="false">COSH($E$1*B1040*86.4/$G$1)</f>
        <v>9.38878992223674</v>
      </c>
      <c r="I1040" s="0" t="n">
        <f aca="false">(($G$1^2*1000)/($E$1*$I$1))*(H1040-1)</f>
        <v>8.13476401925467</v>
      </c>
      <c r="J1040" s="0" t="n">
        <f aca="false">$J$3*EXP(-$E$1*B1040*86.4/$G$1)</f>
        <v>53.4068982845802</v>
      </c>
      <c r="K1040" s="0" t="n">
        <f aca="false">J1039-J1040</f>
        <v>0.151102794926551</v>
      </c>
    </row>
    <row r="1041" customFormat="false" ht="12.8" hidden="false" customHeight="false" outlineLevel="0" collapsed="false">
      <c r="A1041" s="0" t="n">
        <v>1</v>
      </c>
      <c r="B1041" s="0" t="n">
        <f aca="false">B1040+A1041</f>
        <v>1038</v>
      </c>
      <c r="C1041" s="0" t="n">
        <f aca="false">$C$3+($G$1/($E$1*86.4))*SINH($E$1*B1041*86.4/$G$1)</f>
        <v>47917.6348532315</v>
      </c>
      <c r="D1041" s="0" t="n">
        <f aca="false">C1041-$C$3-B1041</f>
        <v>2275.63485323152</v>
      </c>
      <c r="E1041" s="0" t="n">
        <f aca="false">$E$1*B1041*86.4</f>
        <v>879792.192</v>
      </c>
      <c r="F1041" s="0" t="n">
        <f aca="false">$G$1*G1041</f>
        <v>298303.07775764</v>
      </c>
      <c r="G1041" s="0" t="n">
        <f aca="false">TANH($E$1*B1041*86.4/$G$1)</f>
        <v>0.994343592525467</v>
      </c>
      <c r="H1041" s="0" t="n">
        <f aca="false">COSH($E$1*B1041*86.4/$G$1)</f>
        <v>9.41520249993283</v>
      </c>
      <c r="I1041" s="0" t="n">
        <f aca="false">(($G$1^2*1000)/($E$1*$I$1))*(H1041-1)</f>
        <v>8.16037678208335</v>
      </c>
      <c r="J1041" s="0" t="n">
        <f aca="false">$J$3*EXP(-$E$1*B1041*86.4/$G$1)</f>
        <v>53.2562217948588</v>
      </c>
      <c r="K1041" s="0" t="n">
        <f aca="false">J1040-J1041</f>
        <v>0.150676489721462</v>
      </c>
    </row>
    <row r="1042" customFormat="false" ht="12.8" hidden="false" customHeight="false" outlineLevel="0" collapsed="false">
      <c r="A1042" s="0" t="n">
        <v>1</v>
      </c>
      <c r="B1042" s="0" t="n">
        <f aca="false">B1041+A1042</f>
        <v>1039</v>
      </c>
      <c r="C1042" s="0" t="n">
        <f aca="false">$C$3+($G$1/($E$1*86.4))*SINH($E$1*B1042*86.4/$G$1)</f>
        <v>47927.0632933257</v>
      </c>
      <c r="D1042" s="0" t="n">
        <f aca="false">C1042-$C$3-B1042</f>
        <v>2284.06329332574</v>
      </c>
      <c r="E1042" s="0" t="n">
        <f aca="false">$E$1*B1042*86.4</f>
        <v>880639.776</v>
      </c>
      <c r="F1042" s="0" t="n">
        <f aca="false">$G$1*G1042</f>
        <v>298312.612389182</v>
      </c>
      <c r="G1042" s="0" t="n">
        <f aca="false">TANH($E$1*B1042*86.4/$G$1)</f>
        <v>0.994375374630605</v>
      </c>
      <c r="H1042" s="0" t="n">
        <f aca="false">COSH($E$1*B1042*86.4/$G$1)</f>
        <v>9.44169023177494</v>
      </c>
      <c r="I1042" s="0" t="n">
        <f aca="false">(($G$1^2*1000)/($E$1*$I$1))*(H1042-1)</f>
        <v>8.18606242327097</v>
      </c>
      <c r="J1042" s="0" t="n">
        <f aca="false">$J$3*EXP(-$E$1*B1042*86.4/$G$1)</f>
        <v>53.1059704076107</v>
      </c>
      <c r="K1042" s="0" t="n">
        <f aca="false">J1041-J1042</f>
        <v>0.150251387248083</v>
      </c>
    </row>
    <row r="1043" customFormat="false" ht="12.8" hidden="false" customHeight="false" outlineLevel="0" collapsed="false">
      <c r="A1043" s="0" t="n">
        <v>1</v>
      </c>
      <c r="B1043" s="0" t="n">
        <f aca="false">B1042+A1043</f>
        <v>1040</v>
      </c>
      <c r="C1043" s="0" t="n">
        <f aca="false">$C$3+($G$1/($E$1*86.4))*SINH($E$1*B1043*86.4/$G$1)</f>
        <v>47936.5182588169</v>
      </c>
      <c r="D1043" s="0" t="n">
        <f aca="false">C1043-$C$3-B1043</f>
        <v>2292.51825881693</v>
      </c>
      <c r="E1043" s="0" t="n">
        <f aca="false">$E$1*B1043*86.4</f>
        <v>881487.36</v>
      </c>
      <c r="F1043" s="0" t="n">
        <f aca="false">$G$1*G1043</f>
        <v>298322.093597975</v>
      </c>
      <c r="G1043" s="0" t="n">
        <f aca="false">TANH($E$1*B1043*86.4/$G$1)</f>
        <v>0.994406978659917</v>
      </c>
      <c r="H1043" s="0" t="n">
        <f aca="false">COSH($E$1*B1043*86.4/$G$1)</f>
        <v>9.46825332919379</v>
      </c>
      <c r="I1043" s="0" t="n">
        <f aca="false">(($G$1^2*1000)/($E$1*$I$1))*(H1043-1)</f>
        <v>8.21182114784578</v>
      </c>
      <c r="J1043" s="0" t="n">
        <f aca="false">$J$3*EXP(-$E$1*B1043*86.4/$G$1)</f>
        <v>52.9561429234975</v>
      </c>
      <c r="K1043" s="0" t="n">
        <f aca="false">J1042-J1043</f>
        <v>0.149827484113217</v>
      </c>
    </row>
    <row r="1044" customFormat="false" ht="12.8" hidden="false" customHeight="false" outlineLevel="0" collapsed="false">
      <c r="A1044" s="0" t="n">
        <v>1</v>
      </c>
      <c r="B1044" s="0" t="n">
        <f aca="false">B1043+A1044</f>
        <v>1041</v>
      </c>
      <c r="C1044" s="0" t="n">
        <f aca="false">$C$3+($G$1/($E$1*86.4))*SINH($E$1*B1044*86.4/$G$1)</f>
        <v>47945.9998251767</v>
      </c>
      <c r="D1044" s="0" t="n">
        <f aca="false">C1044-$C$3-B1044</f>
        <v>2300.99982517665</v>
      </c>
      <c r="E1044" s="0" t="n">
        <f aca="false">$E$1*B1044*86.4</f>
        <v>882334.944</v>
      </c>
      <c r="F1044" s="0" t="n">
        <f aca="false">$G$1*G1044</f>
        <v>298331.521681666</v>
      </c>
      <c r="G1044" s="0" t="n">
        <f aca="false">TANH($E$1*B1044*86.4/$G$1)</f>
        <v>0.994438405605552</v>
      </c>
      <c r="H1044" s="0" t="n">
        <f aca="false">COSH($E$1*B1044*86.4/$G$1)</f>
        <v>9.49489200422165</v>
      </c>
      <c r="I1044" s="0" t="n">
        <f aca="false">(($G$1^2*1000)/($E$1*$I$1))*(H1044-1)</f>
        <v>8.23765316141938</v>
      </c>
      <c r="J1044" s="0" t="n">
        <f aca="false">$J$3*EXP(-$E$1*B1044*86.4/$G$1)</f>
        <v>52.8067381465643</v>
      </c>
      <c r="K1044" s="0" t="n">
        <f aca="false">J1043-J1044</f>
        <v>0.149404776933181</v>
      </c>
    </row>
    <row r="1045" customFormat="false" ht="12.8" hidden="false" customHeight="false" outlineLevel="0" collapsed="false">
      <c r="A1045" s="0" t="n">
        <v>1</v>
      </c>
      <c r="B1045" s="0" t="n">
        <f aca="false">B1044+A1045</f>
        <v>1042</v>
      </c>
      <c r="C1045" s="0" t="n">
        <f aca="false">$C$3+($G$1/($E$1*86.4))*SINH($E$1*B1045*86.4/$G$1)</f>
        <v>47955.5080680888</v>
      </c>
      <c r="D1045" s="0" t="n">
        <f aca="false">C1045-$C$3-B1045</f>
        <v>2309.50806808878</v>
      </c>
      <c r="E1045" s="0" t="n">
        <f aca="false">$E$1*B1045*86.4</f>
        <v>883182.528</v>
      </c>
      <c r="F1045" s="0" t="n">
        <f aca="false">$G$1*G1045</f>
        <v>298340.896936259</v>
      </c>
      <c r="G1045" s="0" t="n">
        <f aca="false">TANH($E$1*B1045*86.4/$G$1)</f>
        <v>0.994469656454198</v>
      </c>
      <c r="H1045" s="0" t="n">
        <f aca="false">COSH($E$1*B1045*86.4/$G$1)</f>
        <v>9.52160646949409</v>
      </c>
      <c r="I1045" s="0" t="n">
        <f aca="false">(($G$1^2*1000)/($E$1*$I$1))*(H1045-1)</f>
        <v>8.26355867018839</v>
      </c>
      <c r="J1045" s="0" t="n">
        <f aca="false">$J$3*EXP(-$E$1*B1045*86.4/$G$1)</f>
        <v>52.6577548842306</v>
      </c>
      <c r="K1045" s="0" t="n">
        <f aca="false">J1044-J1045</f>
        <v>0.148983262333751</v>
      </c>
    </row>
    <row r="1046" customFormat="false" ht="12.8" hidden="false" customHeight="false" outlineLevel="0" collapsed="false">
      <c r="A1046" s="0" t="n">
        <v>1</v>
      </c>
      <c r="B1046" s="0" t="n">
        <f aca="false">B1045+A1046</f>
        <v>1043</v>
      </c>
      <c r="C1046" s="0" t="n">
        <f aca="false">$C$3+($G$1/($E$1*86.4))*SINH($E$1*B1046*86.4/$G$1)</f>
        <v>47965.0430634501</v>
      </c>
      <c r="D1046" s="0" t="n">
        <f aca="false">C1046-$C$3-B1046</f>
        <v>2318.04306345012</v>
      </c>
      <c r="E1046" s="0" t="n">
        <f aca="false">$E$1*B1046*86.4</f>
        <v>884030.112</v>
      </c>
      <c r="F1046" s="0" t="n">
        <f aca="false">$G$1*G1046</f>
        <v>298350.219656131</v>
      </c>
      <c r="G1046" s="0" t="n">
        <f aca="false">TANH($E$1*B1046*86.4/$G$1)</f>
        <v>0.994500732187104</v>
      </c>
      <c r="H1046" s="0" t="n">
        <f aca="false">COSH($E$1*B1046*86.4/$G$1)</f>
        <v>9.54839693825165</v>
      </c>
      <c r="I1046" s="0" t="n">
        <f aca="false">(($G$1^2*1000)/($E$1*$I$1))*(H1046-1)</f>
        <v>8.28953788093609</v>
      </c>
      <c r="J1046" s="0" t="n">
        <f aca="false">$J$3*EXP(-$E$1*B1046*86.4/$G$1)</f>
        <v>52.5091919472801</v>
      </c>
      <c r="K1046" s="0" t="n">
        <f aca="false">J1045-J1046</f>
        <v>0.148562936950412</v>
      </c>
    </row>
    <row r="1047" customFormat="false" ht="12.8" hidden="false" customHeight="false" outlineLevel="0" collapsed="false">
      <c r="A1047" s="0" t="n">
        <v>1</v>
      </c>
      <c r="B1047" s="0" t="n">
        <f aca="false">B1046+A1047</f>
        <v>1044</v>
      </c>
      <c r="C1047" s="0" t="n">
        <f aca="false">$C$3+($G$1/($E$1*86.4))*SINH($E$1*B1047*86.4/$G$1)</f>
        <v>47974.6048873711</v>
      </c>
      <c r="D1047" s="0" t="n">
        <f aca="false">C1047-$C$3-B1047</f>
        <v>2326.60488737105</v>
      </c>
      <c r="E1047" s="0" t="n">
        <f aca="false">$E$1*B1047*86.4</f>
        <v>884877.696</v>
      </c>
      <c r="F1047" s="0" t="n">
        <f aca="false">$G$1*G1047</f>
        <v>298359.490134034</v>
      </c>
      <c r="G1047" s="0" t="n">
        <f aca="false">TANH($E$1*B1047*86.4/$G$1)</f>
        <v>0.994531633780114</v>
      </c>
      <c r="H1047" s="0" t="n">
        <f aca="false">COSH($E$1*B1047*86.4/$G$1)</f>
        <v>9.57526362434154</v>
      </c>
      <c r="I1047" s="0" t="n">
        <f aca="false">(($G$1^2*1000)/($E$1*$I$1))*(H1047-1)</f>
        <v>8.31559100103405</v>
      </c>
      <c r="J1047" s="0" t="n">
        <f aca="false">$J$3*EXP(-$E$1*B1047*86.4/$G$1)</f>
        <v>52.3610481498522</v>
      </c>
      <c r="K1047" s="0" t="n">
        <f aca="false">J1046-J1047</f>
        <v>0.148143797427956</v>
      </c>
    </row>
    <row r="1048" customFormat="false" ht="12.8" hidden="false" customHeight="false" outlineLevel="0" collapsed="false">
      <c r="A1048" s="0" t="n">
        <v>1</v>
      </c>
      <c r="B1048" s="0" t="n">
        <f aca="false">B1047+A1048</f>
        <v>1045</v>
      </c>
      <c r="C1048" s="0" t="n">
        <f aca="false">$C$3+($G$1/($E$1*86.4))*SINH($E$1*B1048*86.4/$G$1)</f>
        <v>47984.1936161761</v>
      </c>
      <c r="D1048" s="0" t="n">
        <f aca="false">C1048-$C$3-B1048</f>
        <v>2335.19361617607</v>
      </c>
      <c r="E1048" s="0" t="n">
        <f aca="false">$E$1*B1048*86.4</f>
        <v>885725.28</v>
      </c>
      <c r="F1048" s="0" t="n">
        <f aca="false">$G$1*G1048</f>
        <v>298368.708661108</v>
      </c>
      <c r="G1048" s="0" t="n">
        <f aca="false">TANH($E$1*B1048*86.4/$G$1)</f>
        <v>0.994562362203695</v>
      </c>
      <c r="H1048" s="0" t="n">
        <f aca="false">COSH($E$1*B1048*86.4/$G$1)</f>
        <v>9.60220674221935</v>
      </c>
      <c r="I1048" s="0" t="n">
        <f aca="false">(($G$1^2*1000)/($E$1*$I$1))*(H1048-1)</f>
        <v>8.34171823844382</v>
      </c>
      <c r="J1048" s="0" t="n">
        <f aca="false">$J$3*EXP(-$E$1*B1048*86.4/$G$1)</f>
        <v>52.2133223094314</v>
      </c>
      <c r="K1048" s="0" t="n">
        <f aca="false">J1047-J1048</f>
        <v>0.147725840420769</v>
      </c>
    </row>
    <row r="1049" customFormat="false" ht="12.8" hidden="false" customHeight="false" outlineLevel="0" collapsed="false">
      <c r="A1049" s="0" t="n">
        <v>1</v>
      </c>
      <c r="B1049" s="0" t="n">
        <f aca="false">B1048+A1049</f>
        <v>1046</v>
      </c>
      <c r="C1049" s="0" t="n">
        <f aca="false">$C$3+($G$1/($E$1*86.4))*SINH($E$1*B1049*86.4/$G$1)</f>
        <v>47993.8093264044</v>
      </c>
      <c r="D1049" s="0" t="n">
        <f aca="false">C1049-$C$3-B1049</f>
        <v>2343.80932640444</v>
      </c>
      <c r="E1049" s="0" t="n">
        <f aca="false">$E$1*B1049*86.4</f>
        <v>886572.864</v>
      </c>
      <c r="F1049" s="0" t="n">
        <f aca="false">$G$1*G1049</f>
        <v>298377.875526889</v>
      </c>
      <c r="G1049" s="0" t="n">
        <f aca="false">TANH($E$1*B1049*86.4/$G$1)</f>
        <v>0.994592918422964</v>
      </c>
      <c r="H1049" s="0" t="n">
        <f aca="false">COSH($E$1*B1049*86.4/$G$1)</f>
        <v>9.62922650695077</v>
      </c>
      <c r="I1049" s="0" t="n">
        <f aca="false">(($G$1^2*1000)/($E$1*$I$1))*(H1049-1)</f>
        <v>8.36791980171854</v>
      </c>
      <c r="J1049" s="0" t="n">
        <f aca="false">$J$3*EXP(-$E$1*B1049*86.4/$G$1)</f>
        <v>52.0660132468388</v>
      </c>
      <c r="K1049" s="0" t="n">
        <f aca="false">J1048-J1049</f>
        <v>0.147309062592591</v>
      </c>
    </row>
    <row r="1050" customFormat="false" ht="12.8" hidden="false" customHeight="false" outlineLevel="0" collapsed="false">
      <c r="A1050" s="0" t="n">
        <v>1</v>
      </c>
      <c r="B1050" s="0" t="n">
        <f aca="false">B1049+A1050</f>
        <v>1047</v>
      </c>
      <c r="C1050" s="0" t="n">
        <f aca="false">$C$3+($G$1/($E$1*86.4))*SINH($E$1*B1050*86.4/$G$1)</f>
        <v>48003.4520948108</v>
      </c>
      <c r="D1050" s="0" t="n">
        <f aca="false">C1050-$C$3-B1050</f>
        <v>2352.4520948108</v>
      </c>
      <c r="E1050" s="0" t="n">
        <f aca="false">$E$1*B1050*86.4</f>
        <v>887420.448</v>
      </c>
      <c r="F1050" s="0" t="n">
        <f aca="false">$G$1*G1050</f>
        <v>298386.991019317</v>
      </c>
      <c r="G1050" s="0" t="n">
        <f aca="false">TANH($E$1*B1050*86.4/$G$1)</f>
        <v>0.994623303397722</v>
      </c>
      <c r="H1050" s="0" t="n">
        <f aca="false">COSH($E$1*B1050*86.4/$G$1)</f>
        <v>9.65632313421329</v>
      </c>
      <c r="I1050" s="0" t="n">
        <f aca="false">(($G$1^2*1000)/($E$1*$I$1))*(H1050-1)</f>
        <v>8.39419590000467</v>
      </c>
      <c r="J1050" s="0" t="n">
        <f aca="false">$J$3*EXP(-$E$1*B1050*86.4/$G$1)</f>
        <v>51.9191197862222</v>
      </c>
      <c r="K1050" s="0" t="n">
        <f aca="false">J1049-J1050</f>
        <v>0.146893460616674</v>
      </c>
    </row>
    <row r="1051" customFormat="false" ht="12.8" hidden="false" customHeight="false" outlineLevel="0" collapsed="false">
      <c r="A1051" s="0" t="n">
        <v>1</v>
      </c>
      <c r="B1051" s="0" t="n">
        <f aca="false">B1050+A1051</f>
        <v>1048</v>
      </c>
      <c r="C1051" s="0" t="n">
        <f aca="false">$C$3+($G$1/($E$1*86.4))*SINH($E$1*B1051*86.4/$G$1)</f>
        <v>48013.1219983658</v>
      </c>
      <c r="D1051" s="0" t="n">
        <f aca="false">C1051-$C$3-B1051</f>
        <v>2361.12199836579</v>
      </c>
      <c r="E1051" s="0" t="n">
        <f aca="false">$E$1*B1051*86.4</f>
        <v>888268.032</v>
      </c>
      <c r="F1051" s="0" t="n">
        <f aca="false">$G$1*G1051</f>
        <v>298396.055424743</v>
      </c>
      <c r="G1051" s="0" t="n">
        <f aca="false">TANH($E$1*B1051*86.4/$G$1)</f>
        <v>0.994653518082477</v>
      </c>
      <c r="H1051" s="0" t="n">
        <f aca="false">COSH($E$1*B1051*86.4/$G$1)</f>
        <v>9.68349684029797</v>
      </c>
      <c r="I1051" s="0" t="n">
        <f aca="false">(($G$1^2*1000)/($E$1*$I$1))*(H1051-1)</f>
        <v>8.4205467430436</v>
      </c>
      <c r="J1051" s="0" t="n">
        <f aca="false">$J$3*EXP(-$E$1*B1051*86.4/$G$1)</f>
        <v>51.7726407550466</v>
      </c>
      <c r="K1051" s="0" t="n">
        <f aca="false">J1050-J1051</f>
        <v>0.146479031175545</v>
      </c>
    </row>
    <row r="1052" customFormat="false" ht="12.8" hidden="false" customHeight="false" outlineLevel="0" collapsed="false">
      <c r="A1052" s="0" t="n">
        <v>1</v>
      </c>
      <c r="B1052" s="0" t="n">
        <f aca="false">B1051+A1052</f>
        <v>1049</v>
      </c>
      <c r="C1052" s="0" t="n">
        <f aca="false">$C$3+($G$1/($E$1*86.4))*SINH($E$1*B1052*86.4/$G$1)</f>
        <v>48022.8191142566</v>
      </c>
      <c r="D1052" s="0" t="n">
        <f aca="false">C1052-$C$3-B1052</f>
        <v>2369.81911425664</v>
      </c>
      <c r="E1052" s="0" t="n">
        <f aca="false">$E$1*B1052*86.4</f>
        <v>889115.616</v>
      </c>
      <c r="F1052" s="0" t="n">
        <f aca="false">$G$1*G1052</f>
        <v>298405.069027942</v>
      </c>
      <c r="G1052" s="0" t="n">
        <f aca="false">TANH($E$1*B1052*86.4/$G$1)</f>
        <v>0.994683563426474</v>
      </c>
      <c r="H1052" s="0" t="n">
        <f aca="false">COSH($E$1*B1052*86.4/$G$1)</f>
        <v>9.71074784211108</v>
      </c>
      <c r="I1052" s="0" t="n">
        <f aca="false">(($G$1^2*1000)/($E$1*$I$1))*(H1052-1)</f>
        <v>8.44697254117335</v>
      </c>
      <c r="J1052" s="0" t="n">
        <f aca="false">$J$3*EXP(-$E$1*B1052*86.4/$G$1)</f>
        <v>51.6265749840855</v>
      </c>
      <c r="K1052" s="0" t="n">
        <f aca="false">J1051-J1052</f>
        <v>0.146065770961144</v>
      </c>
    </row>
    <row r="1053" customFormat="false" ht="12.8" hidden="false" customHeight="false" outlineLevel="0" collapsed="false">
      <c r="A1053" s="0" t="n">
        <v>1</v>
      </c>
      <c r="B1053" s="0" t="n">
        <f aca="false">B1052+A1053</f>
        <v>1050</v>
      </c>
      <c r="C1053" s="0" t="n">
        <f aca="false">$C$3+($G$1/($E$1*86.4))*SINH($E$1*B1053*86.4/$G$1)</f>
        <v>48032.5435198878</v>
      </c>
      <c r="D1053" s="0" t="n">
        <f aca="false">C1053-$C$3-B1053</f>
        <v>2378.54351988776</v>
      </c>
      <c r="E1053" s="0" t="n">
        <f aca="false">$E$1*B1053*86.4</f>
        <v>889963.2</v>
      </c>
      <c r="F1053" s="0" t="n">
        <f aca="false">$G$1*G1053</f>
        <v>298414.032112118</v>
      </c>
      <c r="G1053" s="0" t="n">
        <f aca="false">TANH($E$1*B1053*86.4/$G$1)</f>
        <v>0.994713440373727</v>
      </c>
      <c r="H1053" s="0" t="n">
        <f aca="false">COSH($E$1*B1053*86.4/$G$1)</f>
        <v>9.73807635717591</v>
      </c>
      <c r="I1053" s="0" t="n">
        <f aca="false">(($G$1^2*1000)/($E$1*$I$1))*(H1053-1)</f>
        <v>8.47347350533026</v>
      </c>
      <c r="J1053" s="0" t="n">
        <f aca="false">$J$3*EXP(-$E$1*B1053*86.4/$G$1)</f>
        <v>51.4809213074107</v>
      </c>
      <c r="K1053" s="0" t="n">
        <f aca="false">J1052-J1053</f>
        <v>0.145653676674733</v>
      </c>
    </row>
    <row r="1054" customFormat="false" ht="12.8" hidden="false" customHeight="false" outlineLevel="0" collapsed="false">
      <c r="A1054" s="0" t="n">
        <v>1</v>
      </c>
      <c r="B1054" s="0" t="n">
        <f aca="false">B1053+A1054</f>
        <v>1051</v>
      </c>
      <c r="C1054" s="0" t="n">
        <f aca="false">$C$3+($G$1/($E$1*86.4))*SINH($E$1*B1054*86.4/$G$1)</f>
        <v>48042.2952928815</v>
      </c>
      <c r="D1054" s="0" t="n">
        <f aca="false">C1054-$C$3-B1054</f>
        <v>2387.29529288145</v>
      </c>
      <c r="E1054" s="0" t="n">
        <f aca="false">$E$1*B1054*86.4</f>
        <v>890810.784</v>
      </c>
      <c r="F1054" s="0" t="n">
        <f aca="false">$G$1*G1054</f>
        <v>298422.944958912</v>
      </c>
      <c r="G1054" s="0" t="n">
        <f aca="false">TANH($E$1*B1054*86.4/$G$1)</f>
        <v>0.994743149863041</v>
      </c>
      <c r="H1054" s="0" t="n">
        <f aca="false">COSH($E$1*B1054*86.4/$G$1)</f>
        <v>9.76548260363448</v>
      </c>
      <c r="I1054" s="0" t="n">
        <f aca="false">(($G$1^2*1000)/($E$1*$I$1))*(H1054-1)</f>
        <v>8.50004984705066</v>
      </c>
      <c r="J1054" s="0" t="n">
        <f aca="false">$J$3*EXP(-$E$1*B1054*86.4/$G$1)</f>
        <v>51.3356785623838</v>
      </c>
      <c r="K1054" s="0" t="n">
        <f aca="false">J1053-J1054</f>
        <v>0.14524274502697</v>
      </c>
    </row>
    <row r="1055" customFormat="false" ht="12.8" hidden="false" customHeight="false" outlineLevel="0" collapsed="false">
      <c r="A1055" s="0" t="n">
        <v>1</v>
      </c>
      <c r="B1055" s="0" t="n">
        <f aca="false">B1054+A1055</f>
        <v>1052</v>
      </c>
      <c r="C1055" s="0" t="n">
        <f aca="false">$C$3+($G$1/($E$1*86.4))*SINH($E$1*B1055*86.4/$G$1)</f>
        <v>48052.0745110784</v>
      </c>
      <c r="D1055" s="0" t="n">
        <f aca="false">C1055-$C$3-B1055</f>
        <v>2396.07451107841</v>
      </c>
      <c r="E1055" s="0" t="n">
        <f aca="false">$E$1*B1055*86.4</f>
        <v>891658.368</v>
      </c>
      <c r="F1055" s="0" t="n">
        <f aca="false">$G$1*G1055</f>
        <v>298431.807848414</v>
      </c>
      <c r="G1055" s="0" t="n">
        <f aca="false">TANH($E$1*B1055*86.4/$G$1)</f>
        <v>0.994772692828047</v>
      </c>
      <c r="H1055" s="0" t="n">
        <f aca="false">COSH($E$1*B1055*86.4/$G$1)</f>
        <v>9.79296680024926</v>
      </c>
      <c r="I1055" s="0" t="n">
        <f aca="false">(($G$1^2*1000)/($E$1*$I$1))*(H1055-1)</f>
        <v>8.52670177847254</v>
      </c>
      <c r="J1055" s="0" t="n">
        <f aca="false">$J$3*EXP(-$E$1*B1055*86.4/$G$1)</f>
        <v>51.1908455896462</v>
      </c>
      <c r="K1055" s="0" t="n">
        <f aca="false">J1054-J1055</f>
        <v>0.144832972737554</v>
      </c>
    </row>
    <row r="1056" customFormat="false" ht="12.8" hidden="false" customHeight="false" outlineLevel="0" collapsed="false">
      <c r="A1056" s="0" t="n">
        <v>1</v>
      </c>
      <c r="B1056" s="0" t="n">
        <f aca="false">B1055+A1056</f>
        <v>1053</v>
      </c>
      <c r="C1056" s="0" t="n">
        <f aca="false">$C$3+($G$1/($E$1*86.4))*SINH($E$1*B1056*86.4/$G$1)</f>
        <v>48061.8812525385</v>
      </c>
      <c r="D1056" s="0" t="n">
        <f aca="false">C1056-$C$3-B1056</f>
        <v>2404.88125253845</v>
      </c>
      <c r="E1056" s="0" t="n">
        <f aca="false">$E$1*B1056*86.4</f>
        <v>892505.952</v>
      </c>
      <c r="F1056" s="0" t="n">
        <f aca="false">$G$1*G1056</f>
        <v>298440.621059167</v>
      </c>
      <c r="G1056" s="0" t="n">
        <f aca="false">TANH($E$1*B1056*86.4/$G$1)</f>
        <v>0.994802070197222</v>
      </c>
      <c r="H1056" s="0" t="n">
        <f aca="false">COSH($E$1*B1056*86.4/$G$1)</f>
        <v>9.82052916640495</v>
      </c>
      <c r="I1056" s="0" t="n">
        <f aca="false">(($G$1^2*1000)/($E$1*$I$1))*(H1056-1)</f>
        <v>8.55342951233729</v>
      </c>
      <c r="J1056" s="0" t="n">
        <f aca="false">$J$3*EXP(-$E$1*B1056*86.4/$G$1)</f>
        <v>51.0464212331105</v>
      </c>
      <c r="K1056" s="0" t="n">
        <f aca="false">J1055-J1056</f>
        <v>0.144424356535737</v>
      </c>
    </row>
    <row r="1057" customFormat="false" ht="12.8" hidden="false" customHeight="false" outlineLevel="0" collapsed="false">
      <c r="A1057" s="0" t="n">
        <v>1</v>
      </c>
      <c r="B1057" s="0" t="n">
        <f aca="false">B1056+A1057</f>
        <v>1054</v>
      </c>
      <c r="C1057" s="0" t="n">
        <f aca="false">$C$3+($G$1/($E$1*86.4))*SINH($E$1*B1057*86.4/$G$1)</f>
        <v>48071.7155955411</v>
      </c>
      <c r="D1057" s="0" t="n">
        <f aca="false">C1057-$C$3-B1057</f>
        <v>2413.71559554106</v>
      </c>
      <c r="E1057" s="0" t="n">
        <f aca="false">$E$1*B1057*86.4</f>
        <v>893353.536</v>
      </c>
      <c r="F1057" s="0" t="n">
        <f aca="false">$G$1*G1057</f>
        <v>298449.384868177</v>
      </c>
      <c r="G1057" s="0" t="n">
        <f aca="false">TANH($E$1*B1057*86.4/$G$1)</f>
        <v>0.994831282893924</v>
      </c>
      <c r="H1057" s="0" t="n">
        <f aca="false">COSH($E$1*B1057*86.4/$G$1)</f>
        <v>9.84816992211021</v>
      </c>
      <c r="I1057" s="0" t="n">
        <f aca="false">(($G$1^2*1000)/($E$1*$I$1))*(H1057-1)</f>
        <v>8.58023326199135</v>
      </c>
      <c r="J1057" s="0" t="n">
        <f aca="false">$J$3*EXP(-$E$1*B1057*86.4/$G$1)</f>
        <v>50.9024043399506</v>
      </c>
      <c r="K1057" s="0" t="n">
        <f aca="false">J1056-J1057</f>
        <v>0.144016893159829</v>
      </c>
    </row>
    <row r="1058" customFormat="false" ht="12.8" hidden="false" customHeight="false" outlineLevel="0" collapsed="false">
      <c r="A1058" s="0" t="n">
        <v>1</v>
      </c>
      <c r="B1058" s="0" t="n">
        <f aca="false">B1057+A1058</f>
        <v>1055</v>
      </c>
      <c r="C1058" s="0" t="n">
        <f aca="false">$C$3+($G$1/($E$1*86.4))*SINH($E$1*B1058*86.4/$G$1)</f>
        <v>48081.5776185861</v>
      </c>
      <c r="D1058" s="0" t="n">
        <f aca="false">C1058-$C$3-B1058</f>
        <v>2422.57761858606</v>
      </c>
      <c r="E1058" s="0" t="n">
        <f aca="false">$E$1*B1058*86.4</f>
        <v>894201.12</v>
      </c>
      <c r="F1058" s="0" t="n">
        <f aca="false">$G$1*G1058</f>
        <v>298458.099550925</v>
      </c>
      <c r="G1058" s="0" t="n">
        <f aca="false">TANH($E$1*B1058*86.4/$G$1)</f>
        <v>0.994860331836418</v>
      </c>
      <c r="H1058" s="0" t="n">
        <f aca="false">COSH($E$1*B1058*86.4/$G$1)</f>
        <v>9.87588928799942</v>
      </c>
      <c r="I1058" s="0" t="n">
        <f aca="false">(($G$1^2*1000)/($E$1*$I$1))*(H1058-1)</f>
        <v>8.60711324138795</v>
      </c>
      <c r="J1058" s="0" t="n">
        <f aca="false">$J$3*EXP(-$E$1*B1058*86.4/$G$1)</f>
        <v>50.7587937605933</v>
      </c>
      <c r="K1058" s="0" t="n">
        <f aca="false">J1057-J1058</f>
        <v>0.143610579357301</v>
      </c>
    </row>
    <row r="1059" customFormat="false" ht="12.8" hidden="false" customHeight="false" outlineLevel="0" collapsed="false">
      <c r="A1059" s="0" t="n">
        <v>1</v>
      </c>
      <c r="B1059" s="0" t="n">
        <f aca="false">B1058+A1059</f>
        <v>1056</v>
      </c>
      <c r="C1059" s="0" t="n">
        <f aca="false">$C$3+($G$1/($E$1*86.4))*SINH($E$1*B1059*86.4/$G$1)</f>
        <v>48091.4674003942</v>
      </c>
      <c r="D1059" s="0" t="n">
        <f aca="false">C1059-$C$3-B1059</f>
        <v>2431.46740039421</v>
      </c>
      <c r="E1059" s="0" t="n">
        <f aca="false">$E$1*B1059*86.4</f>
        <v>895048.704</v>
      </c>
      <c r="F1059" s="0" t="n">
        <f aca="false">$G$1*G1059</f>
        <v>298466.76538137</v>
      </c>
      <c r="G1059" s="0" t="n">
        <f aca="false">TANH($E$1*B1059*86.4/$G$1)</f>
        <v>0.994889217937898</v>
      </c>
      <c r="H1059" s="0" t="n">
        <f aca="false">COSH($E$1*B1059*86.4/$G$1)</f>
        <v>9.90368748533444</v>
      </c>
      <c r="I1059" s="0" t="n">
        <f aca="false">(($G$1^2*1000)/($E$1*$I$1))*(H1059-1)</f>
        <v>8.63406966508878</v>
      </c>
      <c r="J1059" s="0" t="n">
        <f aca="false">$J$3*EXP(-$E$1*B1059*86.4/$G$1)</f>
        <v>50.6155883487084</v>
      </c>
      <c r="K1059" s="0" t="n">
        <f aca="false">J1058-J1059</f>
        <v>0.143205411884971</v>
      </c>
    </row>
    <row r="1060" customFormat="false" ht="12.8" hidden="false" customHeight="false" outlineLevel="0" collapsed="false">
      <c r="A1060" s="0" t="n">
        <v>1</v>
      </c>
      <c r="B1060" s="0" t="n">
        <f aca="false">B1059+A1060</f>
        <v>1057</v>
      </c>
      <c r="C1060" s="0" t="n">
        <f aca="false">$C$3+($G$1/($E$1*86.4))*SINH($E$1*B1060*86.4/$G$1)</f>
        <v>48101.3850199078</v>
      </c>
      <c r="D1060" s="0" t="n">
        <f aca="false">C1060-$C$3-B1060</f>
        <v>2440.38501990783</v>
      </c>
      <c r="E1060" s="0" t="n">
        <f aca="false">$E$1*B1060*86.4</f>
        <v>895896.288</v>
      </c>
      <c r="F1060" s="0" t="n">
        <f aca="false">$G$1*G1060</f>
        <v>298475.382631957</v>
      </c>
      <c r="G1060" s="0" t="n">
        <f aca="false">TANH($E$1*B1060*86.4/$G$1)</f>
        <v>0.994917942106523</v>
      </c>
      <c r="H1060" s="0" t="n">
        <f aca="false">COSH($E$1*B1060*86.4/$G$1)</f>
        <v>9.9315647360064</v>
      </c>
      <c r="I1060" s="0" t="n">
        <f aca="false">(($G$1^2*1000)/($E$1*$I$1))*(H1060-1)</f>
        <v>8.66110274826576</v>
      </c>
      <c r="J1060" s="0" t="n">
        <f aca="false">$J$3*EXP(-$E$1*B1060*86.4/$G$1)</f>
        <v>50.4727869611998</v>
      </c>
      <c r="K1060" s="0" t="n">
        <f aca="false">J1059-J1060</f>
        <v>0.142801387508598</v>
      </c>
    </row>
    <row r="1061" customFormat="false" ht="12.8" hidden="false" customHeight="false" outlineLevel="0" collapsed="false">
      <c r="A1061" s="0" t="n">
        <v>1</v>
      </c>
      <c r="B1061" s="0" t="n">
        <f aca="false">B1060+A1061</f>
        <v>1058</v>
      </c>
      <c r="C1061" s="0" t="n">
        <f aca="false">$C$3+($G$1/($E$1*86.4))*SINH($E$1*B1061*86.4/$G$1)</f>
        <v>48111.3305562915</v>
      </c>
      <c r="D1061" s="0" t="n">
        <f aca="false">C1061-$C$3-B1061</f>
        <v>2449.3305562915</v>
      </c>
      <c r="E1061" s="0" t="n">
        <f aca="false">$E$1*B1061*86.4</f>
        <v>896743.872</v>
      </c>
      <c r="F1061" s="0" t="n">
        <f aca="false">$G$1*G1061</f>
        <v>298483.951573631</v>
      </c>
      <c r="G1061" s="0" t="n">
        <f aca="false">TANH($E$1*B1061*86.4/$G$1)</f>
        <v>0.994946505245437</v>
      </c>
      <c r="H1061" s="0" t="n">
        <f aca="false">COSH($E$1*B1061*86.4/$G$1)</f>
        <v>9.95952126253744</v>
      </c>
      <c r="I1061" s="0" t="n">
        <f aca="false">(($G$1^2*1000)/($E$1*$I$1))*(H1061-1)</f>
        <v>8.68821270670269</v>
      </c>
      <c r="J1061" s="0" t="n">
        <f aca="false">$J$3*EXP(-$E$1*B1061*86.4/$G$1)</f>
        <v>50.3303884581965</v>
      </c>
      <c r="K1061" s="0" t="n">
        <f aca="false">J1060-J1061</f>
        <v>0.142398503003299</v>
      </c>
    </row>
    <row r="1062" customFormat="false" ht="12.8" hidden="false" customHeight="false" outlineLevel="0" collapsed="false">
      <c r="A1062" s="0" t="n">
        <v>1</v>
      </c>
      <c r="B1062" s="0" t="n">
        <f aca="false">B1061+A1062</f>
        <v>1059</v>
      </c>
      <c r="C1062" s="0" t="n">
        <f aca="false">$C$3+($G$1/($E$1*86.4))*SINH($E$1*B1062*86.4/$G$1)</f>
        <v>48121.3040889326</v>
      </c>
      <c r="D1062" s="0" t="n">
        <f aca="false">C1062-$C$3-B1062</f>
        <v>2458.30408893257</v>
      </c>
      <c r="E1062" s="0" t="n">
        <f aca="false">$E$1*B1062*86.4</f>
        <v>897591.456</v>
      </c>
      <c r="F1062" s="0" t="n">
        <f aca="false">$G$1*G1062</f>
        <v>298492.47247584</v>
      </c>
      <c r="G1062" s="0" t="n">
        <f aca="false">TANH($E$1*B1062*86.4/$G$1)</f>
        <v>0.994974908252799</v>
      </c>
      <c r="H1062" s="0" t="n">
        <f aca="false">COSH($E$1*B1062*86.4/$G$1)</f>
        <v>9.98755728808246</v>
      </c>
      <c r="I1062" s="0" t="n">
        <f aca="false">(($G$1^2*1000)/($E$1*$I$1))*(H1062-1)</f>
        <v>8.71539975679701</v>
      </c>
      <c r="J1062" s="0" t="n">
        <f aca="false">$J$3*EXP(-$E$1*B1062*86.4/$G$1)</f>
        <v>50.1883917030435</v>
      </c>
      <c r="K1062" s="0" t="n">
        <f aca="false">J1061-J1062</f>
        <v>0.141996755153016</v>
      </c>
    </row>
    <row r="1063" customFormat="false" ht="12.8" hidden="false" customHeight="false" outlineLevel="0" collapsed="false">
      <c r="A1063" s="0" t="n">
        <v>1</v>
      </c>
      <c r="B1063" s="0" t="n">
        <f aca="false">B1062+A1063</f>
        <v>1060</v>
      </c>
      <c r="C1063" s="0" t="n">
        <f aca="false">$C$3+($G$1/($E$1*86.4))*SINH($E$1*B1063*86.4/$G$1)</f>
        <v>48131.3056974419</v>
      </c>
      <c r="D1063" s="0" t="n">
        <f aca="false">C1063-$C$3-B1063</f>
        <v>2467.30569744192</v>
      </c>
      <c r="E1063" s="0" t="n">
        <f aca="false">$E$1*B1063*86.4</f>
        <v>898439.04</v>
      </c>
      <c r="F1063" s="0" t="n">
        <f aca="false">$G$1*G1063</f>
        <v>298500.945606543</v>
      </c>
      <c r="G1063" s="0" t="n">
        <f aca="false">TANH($E$1*B1063*86.4/$G$1)</f>
        <v>0.995003152021811</v>
      </c>
      <c r="H1063" s="0" t="n">
        <f aca="false">COSH($E$1*B1063*86.4/$G$1)</f>
        <v>10.015673036431</v>
      </c>
      <c r="I1063" s="0" t="n">
        <f aca="false">(($G$1^2*1000)/($E$1*$I$1))*(H1063-1)</f>
        <v>8.74266411556154</v>
      </c>
      <c r="J1063" s="0" t="n">
        <f aca="false">$J$3*EXP(-$E$1*B1063*86.4/$G$1)</f>
        <v>50.0467955622924</v>
      </c>
      <c r="K1063" s="0" t="n">
        <f aca="false">J1062-J1063</f>
        <v>0.141596140751027</v>
      </c>
    </row>
    <row r="1064" customFormat="false" ht="12.8" hidden="false" customHeight="false" outlineLevel="0" collapsed="false">
      <c r="A1064" s="0" t="n">
        <v>1</v>
      </c>
      <c r="B1064" s="0" t="n">
        <f aca="false">B1063+A1064</f>
        <v>1061</v>
      </c>
      <c r="C1064" s="0" t="n">
        <f aca="false">$C$3+($G$1/($E$1*86.4))*SINH($E$1*B1064*86.4/$G$1)</f>
        <v>48141.3354616545</v>
      </c>
      <c r="D1064" s="0" t="n">
        <f aca="false">C1064-$C$3-B1064</f>
        <v>2476.3354616545</v>
      </c>
      <c r="E1064" s="0" t="n">
        <f aca="false">$E$1*B1064*86.4</f>
        <v>899286.624</v>
      </c>
      <c r="F1064" s="0" t="n">
        <f aca="false">$G$1*G1064</f>
        <v>298509.371232223</v>
      </c>
      <c r="G1064" s="0" t="n">
        <f aca="false">TANH($E$1*B1064*86.4/$G$1)</f>
        <v>0.995031237440744</v>
      </c>
      <c r="H1064" s="0" t="n">
        <f aca="false">COSH($E$1*B1064*86.4/$G$1)</f>
        <v>10.0438687320089</v>
      </c>
      <c r="I1064" s="0" t="n">
        <f aca="false">(($G$1^2*1000)/($E$1*$I$1))*(H1064-1)</f>
        <v>8.77000600062618</v>
      </c>
      <c r="J1064" s="0" t="n">
        <f aca="false">$J$3*EXP(-$E$1*B1064*86.4/$G$1)</f>
        <v>49.9055989056929</v>
      </c>
      <c r="K1064" s="0" t="n">
        <f aca="false">J1063-J1064</f>
        <v>0.141196656599526</v>
      </c>
    </row>
    <row r="1065" customFormat="false" ht="12.8" hidden="false" customHeight="false" outlineLevel="0" collapsed="false">
      <c r="A1065" s="0" t="n">
        <v>1</v>
      </c>
      <c r="B1065" s="0" t="n">
        <f aca="false">B1064+A1065</f>
        <v>1062</v>
      </c>
      <c r="C1065" s="0" t="n">
        <f aca="false">$C$3+($G$1/($E$1*86.4))*SINH($E$1*B1065*86.4/$G$1)</f>
        <v>48151.39346163</v>
      </c>
      <c r="D1065" s="0" t="n">
        <f aca="false">C1065-$C$3-B1065</f>
        <v>2485.39346163003</v>
      </c>
      <c r="E1065" s="0" t="n">
        <f aca="false">$E$1*B1065*86.4</f>
        <v>900134.208</v>
      </c>
      <c r="F1065" s="0" t="n">
        <f aca="false">$G$1*G1065</f>
        <v>298517.749617889</v>
      </c>
      <c r="G1065" s="0" t="n">
        <f aca="false">TANH($E$1*B1065*86.4/$G$1)</f>
        <v>0.995059165392962</v>
      </c>
      <c r="H1065" s="0" t="n">
        <f aca="false">COSH($E$1*B1065*86.4/$G$1)</f>
        <v>10.0721445998803</v>
      </c>
      <c r="I1065" s="0" t="n">
        <f aca="false">(($G$1^2*1000)/($E$1*$I$1))*(H1065-1)</f>
        <v>8.79742563023966</v>
      </c>
      <c r="J1065" s="0" t="n">
        <f aca="false">$J$3*EXP(-$E$1*B1065*86.4/$G$1)</f>
        <v>49.7648006061832</v>
      </c>
      <c r="K1065" s="0" t="n">
        <f aca="false">J1064-J1065</f>
        <v>0.140798299509733</v>
      </c>
    </row>
    <row r="1066" customFormat="false" ht="12.8" hidden="false" customHeight="false" outlineLevel="0" collapsed="false">
      <c r="A1066" s="0" t="n">
        <v>1</v>
      </c>
      <c r="B1066" s="0" t="n">
        <f aca="false">B1065+A1066</f>
        <v>1063</v>
      </c>
      <c r="C1066" s="0" t="n">
        <f aca="false">$C$3+($G$1/($E$1*86.4))*SINH($E$1*B1066*86.4/$G$1)</f>
        <v>48161.4797776536</v>
      </c>
      <c r="D1066" s="0" t="n">
        <f aca="false">C1066-$C$3-B1066</f>
        <v>2494.47977765359</v>
      </c>
      <c r="E1066" s="0" t="n">
        <f aca="false">$E$1*B1066*86.4</f>
        <v>900981.792</v>
      </c>
      <c r="F1066" s="0" t="n">
        <f aca="false">$G$1*G1066</f>
        <v>298526.081027086</v>
      </c>
      <c r="G1066" s="0" t="n">
        <f aca="false">TANH($E$1*B1066*86.4/$G$1)</f>
        <v>0.995086936756953</v>
      </c>
      <c r="H1066" s="0" t="n">
        <f aca="false">COSH($E$1*B1066*86.4/$G$1)</f>
        <v>10.100500865749</v>
      </c>
      <c r="I1066" s="0" t="n">
        <f aca="false">(($G$1^2*1000)/($E$1*$I$1))*(H1066-1)</f>
        <v>8.82492322327128</v>
      </c>
      <c r="J1066" s="0" t="n">
        <f aca="false">$J$3*EXP(-$E$1*B1066*86.4/$G$1)</f>
        <v>49.6243995398814</v>
      </c>
      <c r="K1066" s="0" t="n">
        <f aca="false">J1065-J1066</f>
        <v>0.140401066301806</v>
      </c>
    </row>
    <row r="1067" customFormat="false" ht="12.8" hidden="false" customHeight="false" outlineLevel="0" collapsed="false">
      <c r="A1067" s="0" t="n">
        <v>1</v>
      </c>
      <c r="B1067" s="0" t="n">
        <f aca="false">B1066+A1067</f>
        <v>1064</v>
      </c>
      <c r="C1067" s="0" t="n">
        <f aca="false">$C$3+($G$1/($E$1*86.4))*SINH($E$1*B1067*86.4/$G$1)</f>
        <v>48171.5944902363</v>
      </c>
      <c r="D1067" s="0" t="n">
        <f aca="false">C1067-$C$3-B1067</f>
        <v>2503.5944902363</v>
      </c>
      <c r="E1067" s="0" t="n">
        <f aca="false">$E$1*B1067*86.4</f>
        <v>901829.376</v>
      </c>
      <c r="F1067" s="0" t="n">
        <f aca="false">$G$1*G1067</f>
        <v>298534.365721905</v>
      </c>
      <c r="G1067" s="0" t="n">
        <f aca="false">TANH($E$1*B1067*86.4/$G$1)</f>
        <v>0.995114552406351</v>
      </c>
      <c r="H1067" s="0" t="n">
        <f aca="false">COSH($E$1*B1067*86.4/$G$1)</f>
        <v>10.1289377559609</v>
      </c>
      <c r="I1067" s="0" t="n">
        <f aca="false">(($G$1^2*1000)/($E$1*$I$1))*(H1067-1)</f>
        <v>8.85249899921268</v>
      </c>
      <c r="J1067" s="0" t="n">
        <f aca="false">$J$3*EXP(-$E$1*B1067*86.4/$G$1)</f>
        <v>49.4843945860763</v>
      </c>
      <c r="K1067" s="0" t="n">
        <f aca="false">J1066-J1067</f>
        <v>0.140004953805047</v>
      </c>
    </row>
    <row r="1068" customFormat="false" ht="12.8" hidden="false" customHeight="false" outlineLevel="0" collapsed="false">
      <c r="A1068" s="0" t="n">
        <v>1</v>
      </c>
      <c r="B1068" s="0" t="n">
        <f aca="false">B1067+A1068</f>
        <v>1065</v>
      </c>
      <c r="C1068" s="0" t="n">
        <f aca="false">$C$3+($G$1/($E$1*86.4))*SINH($E$1*B1068*86.4/$G$1)</f>
        <v>48181.737680116</v>
      </c>
      <c r="D1068" s="0" t="n">
        <f aca="false">C1068-$C$3-B1068</f>
        <v>2512.73768011595</v>
      </c>
      <c r="E1068" s="0" t="n">
        <f aca="false">$E$1*B1068*86.4</f>
        <v>902676.96</v>
      </c>
      <c r="F1068" s="0" t="n">
        <f aca="false">$G$1*G1068</f>
        <v>298542.60396299</v>
      </c>
      <c r="G1068" s="0" t="n">
        <f aca="false">TANH($E$1*B1068*86.4/$G$1)</f>
        <v>0.995142013209968</v>
      </c>
      <c r="H1068" s="0" t="n">
        <f aca="false">COSH($E$1*B1068*86.4/$G$1)</f>
        <v>10.1574554975052</v>
      </c>
      <c r="I1068" s="0" t="n">
        <f aca="false">(($G$1^2*1000)/($E$1*$I$1))*(H1068-1)</f>
        <v>8.88015317817956</v>
      </c>
      <c r="J1068" s="0" t="n">
        <f aca="false">$J$3*EXP(-$E$1*B1068*86.4/$G$1)</f>
        <v>49.3447846272187</v>
      </c>
      <c r="K1068" s="0" t="n">
        <f aca="false">J1067-J1068</f>
        <v>0.139609958857591</v>
      </c>
    </row>
    <row r="1069" customFormat="false" ht="12.8" hidden="false" customHeight="false" outlineLevel="0" collapsed="false">
      <c r="A1069" s="0" t="n">
        <v>1</v>
      </c>
      <c r="B1069" s="0" t="n">
        <f aca="false">B1068+A1069</f>
        <v>1066</v>
      </c>
      <c r="C1069" s="0" t="n">
        <f aca="false">$C$3+($G$1/($E$1*86.4))*SINH($E$1*B1069*86.4/$G$1)</f>
        <v>48191.9094282576</v>
      </c>
      <c r="D1069" s="0" t="n">
        <f aca="false">C1069-$C$3-B1069</f>
        <v>2521.90942825763</v>
      </c>
      <c r="E1069" s="0" t="n">
        <f aca="false">$E$1*B1069*86.4</f>
        <v>903524.544</v>
      </c>
      <c r="F1069" s="0" t="n">
        <f aca="false">$G$1*G1069</f>
        <v>298550.796009544</v>
      </c>
      <c r="G1069" s="0" t="n">
        <f aca="false">TANH($E$1*B1069*86.4/$G$1)</f>
        <v>0.995169320031813</v>
      </c>
      <c r="H1069" s="0" t="n">
        <f aca="false">COSH($E$1*B1069*86.4/$G$1)</f>
        <v>10.1860543180166</v>
      </c>
      <c r="I1069" s="0" t="n">
        <f aca="false">(($G$1^2*1000)/($E$1*$I$1))*(H1069-1)</f>
        <v>8.90788598091345</v>
      </c>
      <c r="J1069" s="0" t="n">
        <f aca="false">$J$3*EXP(-$E$1*B1069*86.4/$G$1)</f>
        <v>49.2055685489123</v>
      </c>
      <c r="K1069" s="0" t="n">
        <f aca="false">J1068-J1069</f>
        <v>0.139216078306447</v>
      </c>
    </row>
    <row r="1070" customFormat="false" ht="12.8" hidden="false" customHeight="false" outlineLevel="0" collapsed="false">
      <c r="A1070" s="0" t="n">
        <v>1</v>
      </c>
      <c r="B1070" s="0" t="n">
        <f aca="false">B1069+A1070</f>
        <v>1067</v>
      </c>
      <c r="C1070" s="0" t="n">
        <f aca="false">$C$3+($G$1/($E$1*86.4))*SINH($E$1*B1070*86.4/$G$1)</f>
        <v>48202.1098158544</v>
      </c>
      <c r="D1070" s="0" t="n">
        <f aca="false">C1070-$C$3-B1070</f>
        <v>2531.10981585439</v>
      </c>
      <c r="E1070" s="0" t="n">
        <f aca="false">$E$1*B1070*86.4</f>
        <v>904372.128</v>
      </c>
      <c r="F1070" s="0" t="n">
        <f aca="false">$G$1*G1070</f>
        <v>298558.942119337</v>
      </c>
      <c r="G1070" s="0" t="n">
        <f aca="false">TANH($E$1*B1070*86.4/$G$1)</f>
        <v>0.995196473731122</v>
      </c>
      <c r="H1070" s="0" t="n">
        <f aca="false">COSH($E$1*B1070*86.4/$G$1)</f>
        <v>10.214734445777</v>
      </c>
      <c r="I1070" s="0" t="n">
        <f aca="false">(($G$1^2*1000)/($E$1*$I$1))*(H1070-1)</f>
        <v>8.93569762878346</v>
      </c>
      <c r="J1070" s="0" t="n">
        <f aca="false">$J$3*EXP(-$E$1*B1070*86.4/$G$1)</f>
        <v>49.0667452399047</v>
      </c>
      <c r="K1070" s="0" t="n">
        <f aca="false">J1069-J1070</f>
        <v>0.13882330900762</v>
      </c>
    </row>
    <row r="1071" customFormat="false" ht="12.8" hidden="false" customHeight="false" outlineLevel="0" collapsed="false">
      <c r="A1071" s="0" t="n">
        <v>1</v>
      </c>
      <c r="B1071" s="0" t="n">
        <f aca="false">B1070+A1071</f>
        <v>1068</v>
      </c>
      <c r="C1071" s="0" t="n">
        <f aca="false">$C$3+($G$1/($E$1*86.4))*SINH($E$1*B1071*86.4/$G$1)</f>
        <v>48212.3389243279</v>
      </c>
      <c r="D1071" s="0" t="n">
        <f aca="false">C1071-$C$3-B1071</f>
        <v>2540.3389243279</v>
      </c>
      <c r="E1071" s="0" t="n">
        <f aca="false">$E$1*B1071*86.4</f>
        <v>905219.712</v>
      </c>
      <c r="F1071" s="0" t="n">
        <f aca="false">$G$1*G1071</f>
        <v>298567.042548715</v>
      </c>
      <c r="G1071" s="0" t="n">
        <f aca="false">TANH($E$1*B1071*86.4/$G$1)</f>
        <v>0.995223475162385</v>
      </c>
      <c r="H1071" s="0" t="n">
        <f aca="false">COSH($E$1*B1071*86.4/$G$1)</f>
        <v>10.2434961097172</v>
      </c>
      <c r="I1071" s="0" t="n">
        <f aca="false">(($G$1^2*1000)/($E$1*$I$1))*(H1071-1)</f>
        <v>8.96358834378807</v>
      </c>
      <c r="J1071" s="0" t="n">
        <f aca="false">$J$3*EXP(-$E$1*B1071*86.4/$G$1)</f>
        <v>48.9283135920788</v>
      </c>
      <c r="K1071" s="0" t="n">
        <f aca="false">J1070-J1071</f>
        <v>0.138431647825904</v>
      </c>
    </row>
    <row r="1072" customFormat="false" ht="12.8" hidden="false" customHeight="false" outlineLevel="0" collapsed="false">
      <c r="A1072" s="0" t="n">
        <v>1</v>
      </c>
      <c r="B1072" s="0" t="n">
        <f aca="false">B1071+A1072</f>
        <v>1069</v>
      </c>
      <c r="C1072" s="0" t="n">
        <f aca="false">$C$3+($G$1/($E$1*86.4))*SINH($E$1*B1072*86.4/$G$1)</f>
        <v>48222.5968353291</v>
      </c>
      <c r="D1072" s="0" t="n">
        <f aca="false">C1072-$C$3-B1072</f>
        <v>2549.59683532907</v>
      </c>
      <c r="E1072" s="0" t="n">
        <f aca="false">$E$1*B1072*86.4</f>
        <v>906067.296</v>
      </c>
      <c r="F1072" s="0" t="n">
        <f aca="false">$G$1*G1072</f>
        <v>298575.097552611</v>
      </c>
      <c r="G1072" s="0" t="n">
        <f aca="false">TANH($E$1*B1072*86.4/$G$1)</f>
        <v>0.995250325175369</v>
      </c>
      <c r="H1072" s="0" t="n">
        <f aca="false">COSH($E$1*B1072*86.4/$G$1)</f>
        <v>10.272339539419</v>
      </c>
      <c r="I1072" s="0" t="n">
        <f aca="false">(($G$1^2*1000)/($E$1*$I$1))*(H1072-1)</f>
        <v>8.99155834855691</v>
      </c>
      <c r="J1072" s="0" t="n">
        <f aca="false">$J$3*EXP(-$E$1*B1072*86.4/$G$1)</f>
        <v>48.7902725004437</v>
      </c>
      <c r="K1072" s="0" t="n">
        <f aca="false">J1071-J1072</f>
        <v>0.138041091635046</v>
      </c>
    </row>
    <row r="1073" customFormat="false" ht="12.8" hidden="false" customHeight="false" outlineLevel="0" collapsed="false">
      <c r="A1073" s="0" t="n">
        <v>1</v>
      </c>
      <c r="B1073" s="0" t="n">
        <f aca="false">B1072+A1073</f>
        <v>1070</v>
      </c>
      <c r="C1073" s="0" t="n">
        <f aca="false">$C$3+($G$1/($E$1*86.4))*SINH($E$1*B1073*86.4/$G$1)</f>
        <v>48232.8836307387</v>
      </c>
      <c r="D1073" s="0" t="n">
        <f aca="false">C1073-$C$3-B1073</f>
        <v>2558.88363073873</v>
      </c>
      <c r="E1073" s="0" t="n">
        <f aca="false">$E$1*B1073*86.4</f>
        <v>906914.88</v>
      </c>
      <c r="F1073" s="0" t="n">
        <f aca="false">$G$1*G1073</f>
        <v>298583.107384543</v>
      </c>
      <c r="G1073" s="0" t="n">
        <f aca="false">TANH($E$1*B1073*86.4/$G$1)</f>
        <v>0.995277024615144</v>
      </c>
      <c r="H1073" s="0" t="n">
        <f aca="false">COSH($E$1*B1073*86.4/$G$1)</f>
        <v>10.3012649651166</v>
      </c>
      <c r="I1073" s="0" t="n">
        <f aca="false">(($G$1^2*1000)/($E$1*$I$1))*(H1073-1)</f>
        <v>9.01960786635248</v>
      </c>
      <c r="J1073" s="0" t="n">
        <f aca="false">$J$3*EXP(-$E$1*B1073*86.4/$G$1)</f>
        <v>48.6526208631262</v>
      </c>
      <c r="K1073" s="0" t="n">
        <f aca="false">J1072-J1073</f>
        <v>0.137651637317461</v>
      </c>
    </row>
    <row r="1074" customFormat="false" ht="12.8" hidden="false" customHeight="false" outlineLevel="0" collapsed="false">
      <c r="A1074" s="0" t="n">
        <v>1</v>
      </c>
      <c r="B1074" s="0" t="n">
        <f aca="false">B1073+A1074</f>
        <v>1071</v>
      </c>
      <c r="C1074" s="0" t="n">
        <f aca="false">$C$3+($G$1/($E$1*86.4))*SINH($E$1*B1074*86.4/$G$1)</f>
        <v>48243.1993926683</v>
      </c>
      <c r="D1074" s="0" t="n">
        <f aca="false">C1074-$C$3-B1074</f>
        <v>2568.19939266826</v>
      </c>
      <c r="E1074" s="0" t="n">
        <f aca="false">$E$1*B1074*86.4</f>
        <v>907762.464</v>
      </c>
      <c r="F1074" s="0" t="n">
        <f aca="false">$G$1*G1074</f>
        <v>298591.072296633</v>
      </c>
      <c r="G1074" s="0" t="n">
        <f aca="false">TANH($E$1*B1074*86.4/$G$1)</f>
        <v>0.995303574322111</v>
      </c>
      <c r="H1074" s="0" t="n">
        <f aca="false">COSH($E$1*B1074*86.4/$G$1)</f>
        <v>10.3302726176991</v>
      </c>
      <c r="I1074" s="0" t="n">
        <f aca="false">(($G$1^2*1000)/($E$1*$I$1))*(H1074-1)</f>
        <v>9.047737121072</v>
      </c>
      <c r="J1074" s="0" t="n">
        <f aca="false">$J$3*EXP(-$E$1*B1074*86.4/$G$1)</f>
        <v>48.5153575813618</v>
      </c>
      <c r="K1074" s="0" t="n">
        <f aca="false">J1073-J1074</f>
        <v>0.13726328176449</v>
      </c>
    </row>
    <row r="1075" customFormat="false" ht="12.8" hidden="false" customHeight="false" outlineLevel="0" collapsed="false">
      <c r="A1075" s="0" t="n">
        <v>1</v>
      </c>
      <c r="B1075" s="0" t="n">
        <f aca="false">B1074+A1075</f>
        <v>1072</v>
      </c>
      <c r="C1075" s="0" t="n">
        <f aca="false">$C$3+($G$1/($E$1*86.4))*SINH($E$1*B1075*86.4/$G$1)</f>
        <v>48253.5442034603</v>
      </c>
      <c r="D1075" s="0" t="n">
        <f aca="false">C1075-$C$3-B1075</f>
        <v>2577.54420346026</v>
      </c>
      <c r="E1075" s="0" t="n">
        <f aca="false">$E$1*B1075*86.4</f>
        <v>908610.048</v>
      </c>
      <c r="F1075" s="0" t="n">
        <f aca="false">$G$1*G1075</f>
        <v>298598.992539607</v>
      </c>
      <c r="G1075" s="0" t="n">
        <f aca="false">TANH($E$1*B1075*86.4/$G$1)</f>
        <v>0.995329975132022</v>
      </c>
      <c r="H1075" s="0" t="n">
        <f aca="false">COSH($E$1*B1075*86.4/$G$1)</f>
        <v>10.3593627287117</v>
      </c>
      <c r="I1075" s="0" t="n">
        <f aca="false">(($G$1^2*1000)/($E$1*$I$1))*(H1075-1)</f>
        <v>9.07594633724915</v>
      </c>
      <c r="J1075" s="0" t="n">
        <f aca="false">$J$3*EXP(-$E$1*B1075*86.4/$G$1)</f>
        <v>48.3784815594855</v>
      </c>
      <c r="K1075" s="0" t="n">
        <f aca="false">J1074-J1075</f>
        <v>0.136876021876219</v>
      </c>
    </row>
    <row r="1076" customFormat="false" ht="12.8" hidden="false" customHeight="false" outlineLevel="0" collapsed="false">
      <c r="A1076" s="0" t="n">
        <v>1</v>
      </c>
      <c r="B1076" s="0" t="n">
        <f aca="false">B1075+A1076</f>
        <v>1073</v>
      </c>
      <c r="C1076" s="0" t="n">
        <f aca="false">$C$3+($G$1/($E$1*86.4))*SINH($E$1*B1076*86.4/$G$1)</f>
        <v>48263.9181456892</v>
      </c>
      <c r="D1076" s="0" t="n">
        <f aca="false">C1076-$C$3-B1076</f>
        <v>2586.91814568922</v>
      </c>
      <c r="E1076" s="0" t="n">
        <f aca="false">$E$1*B1076*86.4</f>
        <v>909457.632</v>
      </c>
      <c r="F1076" s="0" t="n">
        <f aca="false">$G$1*G1076</f>
        <v>298606.868362804</v>
      </c>
      <c r="G1076" s="0" t="n">
        <f aca="false">TANH($E$1*B1076*86.4/$G$1)</f>
        <v>0.995356227876013</v>
      </c>
      <c r="H1076" s="0" t="n">
        <f aca="false">COSH($E$1*B1076*86.4/$G$1)</f>
        <v>10.3885355303578</v>
      </c>
      <c r="I1076" s="0" t="n">
        <f aca="false">(($G$1^2*1000)/($E$1*$I$1))*(H1076-1)</f>
        <v>9.10423574005589</v>
      </c>
      <c r="J1076" s="0" t="n">
        <f aca="false">$J$3*EXP(-$E$1*B1076*86.4/$G$1)</f>
        <v>48.2419917049241</v>
      </c>
      <c r="K1076" s="0" t="n">
        <f aca="false">J1075-J1076</f>
        <v>0.136489854561397</v>
      </c>
    </row>
    <row r="1077" customFormat="false" ht="12.8" hidden="false" customHeight="false" outlineLevel="0" collapsed="false">
      <c r="A1077" s="0" t="n">
        <v>1</v>
      </c>
      <c r="B1077" s="0" t="n">
        <f aca="false">B1076+A1077</f>
        <v>1074</v>
      </c>
      <c r="C1077" s="0" t="n">
        <f aca="false">$C$3+($G$1/($E$1*86.4))*SINH($E$1*B1077*86.4/$G$1)</f>
        <v>48274.3213021621</v>
      </c>
      <c r="D1077" s="0" t="n">
        <f aca="false">C1077-$C$3-B1077</f>
        <v>2596.32130216214</v>
      </c>
      <c r="E1077" s="0" t="n">
        <f aca="false">$E$1*B1077*86.4</f>
        <v>910305.216</v>
      </c>
      <c r="F1077" s="0" t="n">
        <f aca="false">$G$1*G1077</f>
        <v>298614.700014186</v>
      </c>
      <c r="G1077" s="0" t="n">
        <f aca="false">TANH($E$1*B1077*86.4/$G$1)</f>
        <v>0.995382333380621</v>
      </c>
      <c r="H1077" s="0" t="n">
        <f aca="false">COSH($E$1*B1077*86.4/$G$1)</f>
        <v>10.4177912555008</v>
      </c>
      <c r="I1077" s="0" t="n">
        <f aca="false">(($G$1^2*1000)/($E$1*$I$1))*(H1077-1)</f>
        <v>9.13260555530424</v>
      </c>
      <c r="J1077" s="0" t="n">
        <f aca="false">$J$3*EXP(-$E$1*B1077*86.4/$G$1)</f>
        <v>48.1058869281866</v>
      </c>
      <c r="K1077" s="0" t="n">
        <f aca="false">J1076-J1077</f>
        <v>0.136104776737589</v>
      </c>
    </row>
    <row r="1078" customFormat="false" ht="12.8" hidden="false" customHeight="false" outlineLevel="0" collapsed="false">
      <c r="A1078" s="0" t="n">
        <v>1</v>
      </c>
      <c r="B1078" s="0" t="n">
        <f aca="false">B1077+A1078</f>
        <v>1075</v>
      </c>
      <c r="C1078" s="0" t="n">
        <f aca="false">$C$3+($G$1/($E$1*86.4))*SINH($E$1*B1078*86.4/$G$1)</f>
        <v>48284.7537559192</v>
      </c>
      <c r="D1078" s="0" t="n">
        <f aca="false">C1078-$C$3-B1078</f>
        <v>2605.75375591922</v>
      </c>
      <c r="E1078" s="0" t="n">
        <f aca="false">$E$1*B1078*86.4</f>
        <v>911152.8</v>
      </c>
      <c r="F1078" s="0" t="n">
        <f aca="false">$G$1*G1078</f>
        <v>298622.487740344</v>
      </c>
      <c r="G1078" s="0" t="n">
        <f aca="false">TANH($E$1*B1078*86.4/$G$1)</f>
        <v>0.995408292467814</v>
      </c>
      <c r="H1078" s="0" t="n">
        <f aca="false">COSH($E$1*B1078*86.4/$G$1)</f>
        <v>10.4471301376663</v>
      </c>
      <c r="I1078" s="0" t="n">
        <f aca="false">(($G$1^2*1000)/($E$1*$I$1))*(H1078-1)</f>
        <v>9.16105600944808</v>
      </c>
      <c r="J1078" s="0" t="n">
        <f aca="false">$J$3*EXP(-$E$1*B1078*86.4/$G$1)</f>
        <v>47.9701661428556</v>
      </c>
      <c r="K1078" s="0" t="n">
        <f aca="false">J1077-J1078</f>
        <v>0.135720785330989</v>
      </c>
    </row>
    <row r="1079" customFormat="false" ht="12.8" hidden="false" customHeight="false" outlineLevel="0" collapsed="false">
      <c r="A1079" s="0" t="n">
        <v>1</v>
      </c>
      <c r="B1079" s="0" t="n">
        <f aca="false">B1078+A1079</f>
        <v>1076</v>
      </c>
      <c r="C1079" s="0" t="n">
        <f aca="false">$C$3+($G$1/($E$1*86.4))*SINH($E$1*B1079*86.4/$G$1)</f>
        <v>48295.2155902345</v>
      </c>
      <c r="D1079" s="0" t="n">
        <f aca="false">C1079-$C$3-B1079</f>
        <v>2615.21559023453</v>
      </c>
      <c r="E1079" s="0" t="n">
        <f aca="false">$E$1*B1079*86.4</f>
        <v>912000.384</v>
      </c>
      <c r="F1079" s="0" t="n">
        <f aca="false">$G$1*G1079</f>
        <v>298630.231786504</v>
      </c>
      <c r="G1079" s="0" t="n">
        <f aca="false">TANH($E$1*B1079*86.4/$G$1)</f>
        <v>0.995434105955013</v>
      </c>
      <c r="H1079" s="0" t="n">
        <f aca="false">COSH($E$1*B1079*86.4/$G$1)</f>
        <v>10.4765524110434</v>
      </c>
      <c r="I1079" s="0" t="n">
        <f aca="false">(($G$1^2*1000)/($E$1*$I$1))*(H1079-1)</f>
        <v>9.18958732958499</v>
      </c>
      <c r="J1079" s="0" t="n">
        <f aca="false">$J$3*EXP(-$E$1*B1079*86.4/$G$1)</f>
        <v>47.834828265579</v>
      </c>
      <c r="K1079" s="0" t="n">
        <f aca="false">J1078-J1079</f>
        <v>0.135337877276591</v>
      </c>
    </row>
    <row r="1080" customFormat="false" ht="12.8" hidden="false" customHeight="false" outlineLevel="0" collapsed="false">
      <c r="A1080" s="0" t="n">
        <v>1</v>
      </c>
      <c r="B1080" s="0" t="n">
        <f aca="false">B1079+A1080</f>
        <v>1077</v>
      </c>
      <c r="C1080" s="0" t="n">
        <f aca="false">$C$3+($G$1/($E$1*86.4))*SINH($E$1*B1080*86.4/$G$1)</f>
        <v>48305.7068886167</v>
      </c>
      <c r="D1080" s="0" t="n">
        <f aca="false">C1080-$C$3-B1080</f>
        <v>2624.70688861666</v>
      </c>
      <c r="E1080" s="0" t="n">
        <f aca="false">$E$1*B1080*86.4</f>
        <v>912847.968</v>
      </c>
      <c r="F1080" s="0" t="n">
        <f aca="false">$G$1*G1080</f>
        <v>298637.932396536</v>
      </c>
      <c r="G1080" s="0" t="n">
        <f aca="false">TANH($E$1*B1080*86.4/$G$1)</f>
        <v>0.99545977465512</v>
      </c>
      <c r="H1080" s="0" t="n">
        <f aca="false">COSH($E$1*B1080*86.4/$G$1)</f>
        <v>10.5060583104869</v>
      </c>
      <c r="I1080" s="0" t="n">
        <f aca="false">(($G$1^2*1000)/($E$1*$I$1))*(H1080-1)</f>
        <v>9.21819974345802</v>
      </c>
      <c r="J1080" s="0" t="n">
        <f aca="false">$J$3*EXP(-$E$1*B1080*86.4/$G$1)</f>
        <v>47.6998722160612</v>
      </c>
      <c r="K1080" s="0" t="n">
        <f aca="false">J1079-J1080</f>
        <v>0.13495604951779</v>
      </c>
    </row>
    <row r="1081" customFormat="false" ht="12.8" hidden="false" customHeight="false" outlineLevel="0" collapsed="false">
      <c r="A1081" s="0" t="n">
        <v>1</v>
      </c>
      <c r="B1081" s="0" t="n">
        <f aca="false">B1080+A1081</f>
        <v>1078</v>
      </c>
      <c r="C1081" s="0" t="n">
        <f aca="false">$C$3+($G$1/($E$1*86.4))*SINH($E$1*B1081*86.4/$G$1)</f>
        <v>48316.2277348094</v>
      </c>
      <c r="D1081" s="0" t="n">
        <f aca="false">C1081-$C$3-B1081</f>
        <v>2634.22773480936</v>
      </c>
      <c r="E1081" s="0" t="n">
        <f aca="false">$E$1*B1081*86.4</f>
        <v>913695.552</v>
      </c>
      <c r="F1081" s="0" t="n">
        <f aca="false">$G$1*G1081</f>
        <v>298645.589812962</v>
      </c>
      <c r="G1081" s="0" t="n">
        <f aca="false">TANH($E$1*B1081*86.4/$G$1)</f>
        <v>0.995485299376539</v>
      </c>
      <c r="H1081" s="0" t="n">
        <f aca="false">COSH($E$1*B1081*86.4/$G$1)</f>
        <v>10.5356480715193</v>
      </c>
      <c r="I1081" s="0" t="n">
        <f aca="false">(($G$1^2*1000)/($E$1*$I$1))*(H1081-1)</f>
        <v>9.24689347945754</v>
      </c>
      <c r="J1081" s="0" t="n">
        <f aca="false">$J$3*EXP(-$E$1*B1081*86.4/$G$1)</f>
        <v>47.5652969170543</v>
      </c>
      <c r="K1081" s="0" t="n">
        <f aca="false">J1080-J1081</f>
        <v>0.134575299006897</v>
      </c>
    </row>
    <row r="1082" customFormat="false" ht="12.8" hidden="false" customHeight="false" outlineLevel="0" collapsed="false">
      <c r="A1082" s="0" t="n">
        <v>1</v>
      </c>
      <c r="B1082" s="0" t="n">
        <f aca="false">B1081+A1082</f>
        <v>1079</v>
      </c>
      <c r="C1082" s="0" t="n">
        <f aca="false">$C$3+($G$1/($E$1*86.4))*SINH($E$1*B1082*86.4/$G$1)</f>
        <v>48326.7782127923</v>
      </c>
      <c r="D1082" s="0" t="n">
        <f aca="false">C1082-$C$3-B1082</f>
        <v>2643.77821279228</v>
      </c>
      <c r="E1082" s="0" t="n">
        <f aca="false">$E$1*B1082*86.4</f>
        <v>914543.136</v>
      </c>
      <c r="F1082" s="0" t="n">
        <f aca="false">$G$1*G1082</f>
        <v>298653.204276961</v>
      </c>
      <c r="G1082" s="0" t="n">
        <f aca="false">TANH($E$1*B1082*86.4/$G$1)</f>
        <v>0.995510680923202</v>
      </c>
      <c r="H1082" s="0" t="n">
        <f aca="false">COSH($E$1*B1082*86.4/$G$1)</f>
        <v>10.5653219303321</v>
      </c>
      <c r="I1082" s="0" t="n">
        <f aca="false">(($G$1^2*1000)/($E$1*$I$1))*(H1082-1)</f>
        <v>9.27566876662304</v>
      </c>
      <c r="J1082" s="0" t="n">
        <f aca="false">$J$3*EXP(-$E$1*B1082*86.4/$G$1)</f>
        <v>47.4311012943497</v>
      </c>
      <c r="K1082" s="0" t="n">
        <f aca="false">J1081-J1082</f>
        <v>0.134195622704581</v>
      </c>
    </row>
    <row r="1083" customFormat="false" ht="12.8" hidden="false" customHeight="false" outlineLevel="0" collapsed="false">
      <c r="A1083" s="0" t="n">
        <v>1</v>
      </c>
      <c r="B1083" s="0" t="n">
        <f aca="false">B1082+A1083</f>
        <v>1080</v>
      </c>
      <c r="C1083" s="0" t="n">
        <f aca="false">$C$3+($G$1/($E$1*86.4))*SINH($E$1*B1083*86.4/$G$1)</f>
        <v>48337.3584067816</v>
      </c>
      <c r="D1083" s="0" t="n">
        <f aca="false">C1083-$C$3-B1083</f>
        <v>2653.35840678157</v>
      </c>
      <c r="E1083" s="0" t="n">
        <f aca="false">$E$1*B1083*86.4</f>
        <v>915390.72</v>
      </c>
      <c r="F1083" s="0" t="n">
        <f aca="false">$G$1*G1083</f>
        <v>298660.776028378</v>
      </c>
      <c r="G1083" s="0" t="n">
        <f aca="false">TANH($E$1*B1083*86.4/$G$1)</f>
        <v>0.995535920094594</v>
      </c>
      <c r="H1083" s="0" t="n">
        <f aca="false">COSH($E$1*B1083*86.4/$G$1)</f>
        <v>10.5950801237886</v>
      </c>
      <c r="I1083" s="0" t="n">
        <f aca="false">(($G$1^2*1000)/($E$1*$I$1))*(H1083-1)</f>
        <v>9.30452583464498</v>
      </c>
      <c r="J1083" s="0" t="n">
        <f aca="false">$J$3*EXP(-$E$1*B1083*86.4/$G$1)</f>
        <v>47.2972842767694</v>
      </c>
      <c r="K1083" s="0" t="n">
        <f aca="false">J1082-J1083</f>
        <v>0.133817017580299</v>
      </c>
    </row>
    <row r="1084" customFormat="false" ht="12.8" hidden="false" customHeight="false" outlineLevel="0" collapsed="false">
      <c r="A1084" s="0" t="n">
        <v>1</v>
      </c>
      <c r="B1084" s="0" t="n">
        <f aca="false">B1083+A1084</f>
        <v>1081</v>
      </c>
      <c r="C1084" s="0" t="n">
        <f aca="false">$C$3+($G$1/($E$1*86.4))*SINH($E$1*B1084*86.4/$G$1)</f>
        <v>48347.9684012306</v>
      </c>
      <c r="D1084" s="0" t="n">
        <f aca="false">C1084-$C$3-B1084</f>
        <v>2662.96840123058</v>
      </c>
      <c r="E1084" s="0" t="n">
        <f aca="false">$E$1*B1084*86.4</f>
        <v>916238.304</v>
      </c>
      <c r="F1084" s="0" t="n">
        <f aca="false">$G$1*G1084</f>
        <v>298668.305305733</v>
      </c>
      <c r="G1084" s="0" t="n">
        <f aca="false">TANH($E$1*B1084*86.4/$G$1)</f>
        <v>0.995561017685775</v>
      </c>
      <c r="H1084" s="0" t="n">
        <f aca="false">COSH($E$1*B1084*86.4/$G$1)</f>
        <v>10.6249228894249</v>
      </c>
      <c r="I1084" s="0" t="n">
        <f aca="false">(($G$1^2*1000)/($E$1*$I$1))*(H1084-1)</f>
        <v>9.33346491386659</v>
      </c>
      <c r="J1084" s="0" t="n">
        <f aca="false">$J$3*EXP(-$E$1*B1084*86.4/$G$1)</f>
        <v>47.1638447961576</v>
      </c>
      <c r="K1084" s="0" t="n">
        <f aca="false">J1083-J1084</f>
        <v>0.133439480611784</v>
      </c>
    </row>
    <row r="1085" customFormat="false" ht="12.8" hidden="false" customHeight="false" outlineLevel="0" collapsed="false">
      <c r="A1085" s="0" t="n">
        <v>1</v>
      </c>
      <c r="B1085" s="0" t="n">
        <f aca="false">B1084+A1085</f>
        <v>1082</v>
      </c>
      <c r="C1085" s="0" t="n">
        <f aca="false">$C$3+($G$1/($E$1*86.4))*SINH($E$1*B1085*86.4/$G$1)</f>
        <v>48358.6082808305</v>
      </c>
      <c r="D1085" s="0" t="n">
        <f aca="false">C1085-$C$3-B1085</f>
        <v>2672.60828083054</v>
      </c>
      <c r="E1085" s="0" t="n">
        <f aca="false">$E$1*B1085*86.4</f>
        <v>917085.888</v>
      </c>
      <c r="F1085" s="0" t="n">
        <f aca="false">$G$1*G1085</f>
        <v>298675.792346222</v>
      </c>
      <c r="G1085" s="0" t="n">
        <f aca="false">TANH($E$1*B1085*86.4/$G$1)</f>
        <v>0.995585974487407</v>
      </c>
      <c r="H1085" s="0" t="n">
        <f aca="false">COSH($E$1*B1085*86.4/$G$1)</f>
        <v>10.6548504654523</v>
      </c>
      <c r="I1085" s="0" t="n">
        <f aca="false">(($G$1^2*1000)/($E$1*$I$1))*(H1085-1)</f>
        <v>9.36248623528577</v>
      </c>
      <c r="J1085" s="0" t="n">
        <f aca="false">$J$3*EXP(-$E$1*B1085*86.4/$G$1)</f>
        <v>47.030781787372</v>
      </c>
      <c r="K1085" s="0" t="n">
        <f aca="false">J1084-J1085</f>
        <v>0.133063008785577</v>
      </c>
    </row>
    <row r="1086" customFormat="false" ht="12.8" hidden="false" customHeight="false" outlineLevel="0" collapsed="false">
      <c r="A1086" s="0" t="n">
        <v>1</v>
      </c>
      <c r="B1086" s="0" t="n">
        <f aca="false">B1085+A1086</f>
        <v>1083</v>
      </c>
      <c r="C1086" s="0" t="n">
        <f aca="false">$C$3+($G$1/($E$1*86.4))*SINH($E$1*B1086*86.4/$G$1)</f>
        <v>48369.2781305112</v>
      </c>
      <c r="D1086" s="0" t="n">
        <f aca="false">C1086-$C$3-B1086</f>
        <v>2682.27813051124</v>
      </c>
      <c r="E1086" s="0" t="n">
        <f aca="false">$E$1*B1086*86.4</f>
        <v>917933.472</v>
      </c>
      <c r="F1086" s="0" t="n">
        <f aca="false">$G$1*G1086</f>
        <v>298683.237385732</v>
      </c>
      <c r="G1086" s="0" t="n">
        <f aca="false">TANH($E$1*B1086*86.4/$G$1)</f>
        <v>0.995610791285774</v>
      </c>
      <c r="H1086" s="0" t="n">
        <f aca="false">COSH($E$1*B1086*86.4/$G$1)</f>
        <v>10.6848630907591</v>
      </c>
      <c r="I1086" s="0" t="n">
        <f aca="false">(($G$1^2*1000)/($E$1*$I$1))*(H1086-1)</f>
        <v>9.39159003055685</v>
      </c>
      <c r="J1086" s="0" t="n">
        <f aca="false">$J$3*EXP(-$E$1*B1086*86.4/$G$1)</f>
        <v>46.8980941882754</v>
      </c>
      <c r="K1086" s="0" t="n">
        <f aca="false">J1085-J1086</f>
        <v>0.132687599096606</v>
      </c>
    </row>
    <row r="1087" customFormat="false" ht="12.8" hidden="false" customHeight="false" outlineLevel="0" collapsed="false">
      <c r="A1087" s="0" t="n">
        <v>1</v>
      </c>
      <c r="B1087" s="0" t="n">
        <f aca="false">B1086+A1087</f>
        <v>1084</v>
      </c>
      <c r="C1087" s="0" t="n">
        <f aca="false">$C$3+($G$1/($E$1*86.4))*SINH($E$1*B1087*86.4/$G$1)</f>
        <v>48379.9780354417</v>
      </c>
      <c r="D1087" s="0" t="n">
        <f aca="false">C1087-$C$3-B1087</f>
        <v>2691.97803544167</v>
      </c>
      <c r="E1087" s="0" t="n">
        <f aca="false">$E$1*B1087*86.4</f>
        <v>918781.056</v>
      </c>
      <c r="F1087" s="0" t="n">
        <f aca="false">$G$1*G1087</f>
        <v>298690.640658843</v>
      </c>
      <c r="G1087" s="0" t="n">
        <f aca="false">TANH($E$1*B1087*86.4/$G$1)</f>
        <v>0.995635468862809</v>
      </c>
      <c r="H1087" s="0" t="n">
        <f aca="false">COSH($E$1*B1087*86.4/$G$1)</f>
        <v>10.7149610049124</v>
      </c>
      <c r="I1087" s="0" t="n">
        <f aca="false">(($G$1^2*1000)/($E$1*$I$1))*(H1087-1)</f>
        <v>9.42077653199252</v>
      </c>
      <c r="J1087" s="0" t="n">
        <f aca="false">$J$3*EXP(-$E$1*B1087*86.4/$G$1)</f>
        <v>46.7657809397273</v>
      </c>
      <c r="K1087" s="0" t="n">
        <f aca="false">J1086-J1087</f>
        <v>0.132313248548165</v>
      </c>
    </row>
    <row r="1088" customFormat="false" ht="12.8" hidden="false" customHeight="false" outlineLevel="0" collapsed="false">
      <c r="A1088" s="0" t="n">
        <v>1</v>
      </c>
      <c r="B1088" s="0" t="n">
        <f aca="false">B1087+A1088</f>
        <v>1085</v>
      </c>
      <c r="C1088" s="0" t="n">
        <f aca="false">$C$3+($G$1/($E$1*86.4))*SINH($E$1*B1088*86.4/$G$1)</f>
        <v>48390.7080810308</v>
      </c>
      <c r="D1088" s="0" t="n">
        <f aca="false">C1088-$C$3-B1088</f>
        <v>2701.70808103075</v>
      </c>
      <c r="E1088" s="0" t="n">
        <f aca="false">$E$1*B1088*86.4</f>
        <v>919628.64</v>
      </c>
      <c r="F1088" s="0" t="n">
        <f aca="false">$G$1*G1088</f>
        <v>298698.002398835</v>
      </c>
      <c r="G1088" s="0" t="n">
        <f aca="false">TANH($E$1*B1088*86.4/$G$1)</f>
        <v>0.995660007996118</v>
      </c>
      <c r="H1088" s="0" t="n">
        <f aca="false">COSH($E$1*B1088*86.4/$G$1)</f>
        <v>10.7451444481601</v>
      </c>
      <c r="I1088" s="0" t="n">
        <f aca="false">(($G$1^2*1000)/($E$1*$I$1))*(H1088-1)</f>
        <v>9.45004597256563</v>
      </c>
      <c r="J1088" s="0" t="n">
        <f aca="false">$J$3*EXP(-$E$1*B1088*86.4/$G$1)</f>
        <v>46.633840985575</v>
      </c>
      <c r="K1088" s="0" t="n">
        <f aca="false">J1087-J1088</f>
        <v>0.131939954152244</v>
      </c>
    </row>
    <row r="1089" customFormat="false" ht="12.8" hidden="false" customHeight="false" outlineLevel="0" collapsed="false">
      <c r="A1089" s="0" t="n">
        <v>1</v>
      </c>
      <c r="B1089" s="0" t="n">
        <f aca="false">B1088+A1089</f>
        <v>1086</v>
      </c>
      <c r="C1089" s="0" t="n">
        <f aca="false">$C$3+($G$1/($E$1*86.4))*SINH($E$1*B1089*86.4/$G$1)</f>
        <v>48401.468352928</v>
      </c>
      <c r="D1089" s="0" t="n">
        <f aca="false">C1089-$C$3-B1089</f>
        <v>2711.46835292799</v>
      </c>
      <c r="E1089" s="0" t="n">
        <f aca="false">$E$1*B1089*86.4</f>
        <v>920476.224</v>
      </c>
      <c r="F1089" s="0" t="n">
        <f aca="false">$G$1*G1089</f>
        <v>298705.3228377</v>
      </c>
      <c r="G1089" s="0" t="n">
        <f aca="false">TANH($E$1*B1089*86.4/$G$1)</f>
        <v>0.995684409459</v>
      </c>
      <c r="H1089" s="0" t="n">
        <f aca="false">COSH($E$1*B1089*86.4/$G$1)</f>
        <v>10.775413661433</v>
      </c>
      <c r="I1089" s="0" t="n">
        <f aca="false">(($G$1^2*1000)/($E$1*$I$1))*(H1089-1)</f>
        <v>9.47939858591107</v>
      </c>
      <c r="J1089" s="0" t="n">
        <f aca="false">$J$3*EXP(-$E$1*B1089*86.4/$G$1)</f>
        <v>46.502273272646</v>
      </c>
      <c r="K1089" s="0" t="n">
        <f aca="false">J1088-J1089</f>
        <v>0.131567712929005</v>
      </c>
    </row>
    <row r="1090" customFormat="false" ht="12.8" hidden="false" customHeight="false" outlineLevel="0" collapsed="false">
      <c r="A1090" s="0" t="n">
        <v>1</v>
      </c>
      <c r="B1090" s="0" t="n">
        <f aca="false">B1089+A1090</f>
        <v>1087</v>
      </c>
      <c r="C1090" s="0" t="n">
        <f aca="false">$C$3+($G$1/($E$1*86.4))*SINH($E$1*B1090*86.4/$G$1)</f>
        <v>48412.2589370242</v>
      </c>
      <c r="D1090" s="0" t="n">
        <f aca="false">C1090-$C$3-B1090</f>
        <v>2721.25893702416</v>
      </c>
      <c r="E1090" s="0" t="n">
        <f aca="false">$E$1*B1090*86.4</f>
        <v>921323.808</v>
      </c>
      <c r="F1090" s="0" t="n">
        <f aca="false">$G$1*G1090</f>
        <v>298712.602206142</v>
      </c>
      <c r="G1090" s="0" t="n">
        <f aca="false">TANH($E$1*B1090*86.4/$G$1)</f>
        <v>0.995708674020473</v>
      </c>
      <c r="H1090" s="0" t="n">
        <f aca="false">COSH($E$1*B1090*86.4/$G$1)</f>
        <v>10.8057688863463</v>
      </c>
      <c r="I1090" s="0" t="n">
        <f aca="false">(($G$1^2*1000)/($E$1*$I$1))*(H1090-1)</f>
        <v>9.50883460632763</v>
      </c>
      <c r="J1090" s="0" t="n">
        <f aca="false">$J$3*EXP(-$E$1*B1090*86.4/$G$1)</f>
        <v>46.3710767507388</v>
      </c>
      <c r="K1090" s="0" t="n">
        <f aca="false">J1089-J1090</f>
        <v>0.131196521907256</v>
      </c>
    </row>
    <row r="1091" customFormat="false" ht="12.8" hidden="false" customHeight="false" outlineLevel="0" collapsed="false">
      <c r="A1091" s="0" t="n">
        <v>1</v>
      </c>
      <c r="B1091" s="0" t="n">
        <f aca="false">B1090+A1091</f>
        <v>1088</v>
      </c>
      <c r="C1091" s="0" t="n">
        <f aca="false">$C$3+($G$1/($E$1*86.4))*SINH($E$1*B1091*86.4/$G$1)</f>
        <v>48423.079919452</v>
      </c>
      <c r="D1091" s="0" t="n">
        <f aca="false">C1091-$C$3-B1091</f>
        <v>2731.07991945199</v>
      </c>
      <c r="E1091" s="0" t="n">
        <f aca="false">$E$1*B1091*86.4</f>
        <v>922171.392</v>
      </c>
      <c r="F1091" s="0" t="n">
        <f aca="false">$G$1*G1091</f>
        <v>298719.84073359</v>
      </c>
      <c r="G1091" s="0" t="n">
        <f aca="false">TANH($E$1*B1091*86.4/$G$1)</f>
        <v>0.995732802445299</v>
      </c>
      <c r="H1091" s="0" t="n">
        <f aca="false">COSH($E$1*B1091*86.4/$G$1)</f>
        <v>10.8362103652019</v>
      </c>
      <c r="I1091" s="0" t="n">
        <f aca="false">(($G$1^2*1000)/($E$1*$I$1))*(H1091-1)</f>
        <v>9.53835426877988</v>
      </c>
      <c r="J1091" s="0" t="n">
        <f aca="false">$J$3*EXP(-$E$1*B1091*86.4/$G$1)</f>
        <v>46.2402503726148</v>
      </c>
      <c r="K1091" s="0" t="n">
        <f aca="false">J1090-J1091</f>
        <v>0.130826378123928</v>
      </c>
    </row>
    <row r="1092" customFormat="false" ht="12.8" hidden="false" customHeight="false" outlineLevel="0" collapsed="false">
      <c r="A1092" s="0" t="n">
        <v>1</v>
      </c>
      <c r="B1092" s="0" t="n">
        <f aca="false">B1091+A1092</f>
        <v>1089</v>
      </c>
      <c r="C1092" s="0" t="n">
        <f aca="false">$C$3+($G$1/($E$1*86.4))*SINH($E$1*B1092*86.4/$G$1)</f>
        <v>48433.9313865869</v>
      </c>
      <c r="D1092" s="0" t="n">
        <f aca="false">C1092-$C$3-B1092</f>
        <v>2740.93138658686</v>
      </c>
      <c r="E1092" s="0" t="n">
        <f aca="false">$E$1*B1092*86.4</f>
        <v>923018.976</v>
      </c>
      <c r="F1092" s="0" t="n">
        <f aca="false">$G$1*G1092</f>
        <v>298727.038648201</v>
      </c>
      <c r="G1092" s="0" t="n">
        <f aca="false">TANH($E$1*B1092*86.4/$G$1)</f>
        <v>0.995756795494002</v>
      </c>
      <c r="H1092" s="0" t="n">
        <f aca="false">COSH($E$1*B1092*86.4/$G$1)</f>
        <v>10.8667383409901</v>
      </c>
      <c r="I1092" s="0" t="n">
        <f aca="false">(($G$1^2*1000)/($E$1*$I$1))*(H1092-1)</f>
        <v>9.56795780890004</v>
      </c>
      <c r="J1092" s="0" t="n">
        <f aca="false">$J$3*EXP(-$E$1*B1092*86.4/$G$1)</f>
        <v>46.1097930939903</v>
      </c>
      <c r="K1092" s="0" t="n">
        <f aca="false">J1091-J1092</f>
        <v>0.130457278624583</v>
      </c>
    </row>
    <row r="1093" customFormat="false" ht="12.8" hidden="false" customHeight="false" outlineLevel="0" collapsed="false">
      <c r="A1093" s="0" t="n">
        <v>1</v>
      </c>
      <c r="B1093" s="0" t="n">
        <f aca="false">B1092+A1093</f>
        <v>1090</v>
      </c>
      <c r="C1093" s="0" t="n">
        <f aca="false">$C$3+($G$1/($E$1*86.4))*SINH($E$1*B1093*86.4/$G$1)</f>
        <v>48444.8134250475</v>
      </c>
      <c r="D1093" s="0" t="n">
        <f aca="false">C1093-$C$3-B1093</f>
        <v>2750.8134250475</v>
      </c>
      <c r="E1093" s="0" t="n">
        <f aca="false">$E$1*B1093*86.4</f>
        <v>923866.56</v>
      </c>
      <c r="F1093" s="0" t="n">
        <f aca="false">$G$1*G1093</f>
        <v>298734.196176869</v>
      </c>
      <c r="G1093" s="0" t="n">
        <f aca="false">TANH($E$1*B1093*86.4/$G$1)</f>
        <v>0.995780653922896</v>
      </c>
      <c r="H1093" s="0" t="n">
        <f aca="false">COSH($E$1*B1093*86.4/$G$1)</f>
        <v>10.8973530573917</v>
      </c>
      <c r="I1093" s="0" t="n">
        <f aca="false">(($G$1^2*1000)/($E$1*$I$1))*(H1093-1)</f>
        <v>9.59764546298984</v>
      </c>
      <c r="J1093" s="0" t="n">
        <f aca="false">$J$3*EXP(-$E$1*B1093*86.4/$G$1)</f>
        <v>45.9797038735273</v>
      </c>
      <c r="K1093" s="0" t="n">
        <f aca="false">J1092-J1093</f>
        <v>0.130089220462949</v>
      </c>
    </row>
    <row r="1094" customFormat="false" ht="12.8" hidden="false" customHeight="false" outlineLevel="0" collapsed="false">
      <c r="A1094" s="0" t="n">
        <v>1</v>
      </c>
      <c r="B1094" s="0" t="n">
        <f aca="false">B1093+A1094</f>
        <v>1091</v>
      </c>
      <c r="C1094" s="0" t="n">
        <f aca="false">$C$3+($G$1/($E$1*86.4))*SINH($E$1*B1094*86.4/$G$1)</f>
        <v>48455.7261216966</v>
      </c>
      <c r="D1094" s="0" t="n">
        <f aca="false">C1094-$C$3-B1094</f>
        <v>2760.72612169664</v>
      </c>
      <c r="E1094" s="0" t="n">
        <f aca="false">$E$1*B1094*86.4</f>
        <v>924714.144</v>
      </c>
      <c r="F1094" s="0" t="n">
        <f aca="false">$G$1*G1094</f>
        <v>298741.313545231</v>
      </c>
      <c r="G1094" s="0" t="n">
        <f aca="false">TANH($E$1*B1094*86.4/$G$1)</f>
        <v>0.995804378484104</v>
      </c>
      <c r="H1094" s="0" t="n">
        <f aca="false">COSH($E$1*B1094*86.4/$G$1)</f>
        <v>10.9280547587799</v>
      </c>
      <c r="I1094" s="0" t="n">
        <f aca="false">(($G$1^2*1000)/($E$1*$I$1))*(H1094-1)</f>
        <v>9.62741746802246</v>
      </c>
      <c r="J1094" s="0" t="n">
        <f aca="false">$J$3*EXP(-$E$1*B1094*86.4/$G$1)</f>
        <v>45.8499816728262</v>
      </c>
      <c r="K1094" s="0" t="n">
        <f aca="false">J1093-J1094</f>
        <v>0.129722200701096</v>
      </c>
    </row>
    <row r="1095" customFormat="false" ht="12.8" hidden="false" customHeight="false" outlineLevel="0" collapsed="false">
      <c r="A1095" s="0" t="n">
        <v>1</v>
      </c>
      <c r="B1095" s="0" t="n">
        <f aca="false">B1094+A1095</f>
        <v>1092</v>
      </c>
      <c r="C1095" s="0" t="n">
        <f aca="false">$C$3+($G$1/($E$1*86.4))*SINH($E$1*B1095*86.4/$G$1)</f>
        <v>48466.6695636417</v>
      </c>
      <c r="D1095" s="0" t="n">
        <f aca="false">C1095-$C$3-B1095</f>
        <v>2770.66956364174</v>
      </c>
      <c r="E1095" s="0" t="n">
        <f aca="false">$E$1*B1095*86.4</f>
        <v>925561.728</v>
      </c>
      <c r="F1095" s="0" t="n">
        <f aca="false">$G$1*G1095</f>
        <v>298748.390977676</v>
      </c>
      <c r="G1095" s="0" t="n">
        <f aca="false">TANH($E$1*B1095*86.4/$G$1)</f>
        <v>0.995827969925585</v>
      </c>
      <c r="H1095" s="0" t="n">
        <f aca="false">COSH($E$1*B1095*86.4/$G$1)</f>
        <v>10.9588436902221</v>
      </c>
      <c r="I1095" s="0" t="n">
        <f aca="false">(($G$1^2*1000)/($E$1*$I$1))*(H1095-1)</f>
        <v>9.65727406164436</v>
      </c>
      <c r="J1095" s="0" t="n">
        <f aca="false">$J$3*EXP(-$E$1*B1095*86.4/$G$1)</f>
        <v>45.7206254564168</v>
      </c>
      <c r="K1095" s="0" t="n">
        <f aca="false">J1094-J1095</f>
        <v>0.129356216409406</v>
      </c>
    </row>
    <row r="1096" customFormat="false" ht="12.8" hidden="false" customHeight="false" outlineLevel="0" collapsed="false">
      <c r="A1096" s="0" t="n">
        <v>1</v>
      </c>
      <c r="B1096" s="0" t="n">
        <f aca="false">B1095+A1096</f>
        <v>1093</v>
      </c>
      <c r="C1096" s="0" t="n">
        <f aca="false">$C$3+($G$1/($E$1*86.4))*SINH($E$1*B1096*86.4/$G$1)</f>
        <v>48477.6438382357</v>
      </c>
      <c r="D1096" s="0" t="n">
        <f aca="false">C1096-$C$3-B1096</f>
        <v>2780.64383823567</v>
      </c>
      <c r="E1096" s="0" t="n">
        <f aca="false">$E$1*B1096*86.4</f>
        <v>926409.312</v>
      </c>
      <c r="F1096" s="0" t="n">
        <f aca="false">$G$1*G1096</f>
        <v>298755.428697346</v>
      </c>
      <c r="G1096" s="0" t="n">
        <f aca="false">TANH($E$1*B1096*86.4/$G$1)</f>
        <v>0.995851428991154</v>
      </c>
      <c r="H1096" s="0" t="n">
        <f aca="false">COSH($E$1*B1096*86.4/$G$1)</f>
        <v>10.9897200974822</v>
      </c>
      <c r="I1096" s="0" t="n">
        <f aca="false">(($G$1^2*1000)/($E$1*$I$1))*(H1096-1)</f>
        <v>9.6872154821772</v>
      </c>
      <c r="J1096" s="0" t="n">
        <f aca="false">$J$3*EXP(-$E$1*B1096*86.4/$G$1)</f>
        <v>45.5916341917503</v>
      </c>
      <c r="K1096" s="0" t="n">
        <f aca="false">J1095-J1096</f>
        <v>0.128991264666468</v>
      </c>
    </row>
    <row r="1097" customFormat="false" ht="12.8" hidden="false" customHeight="false" outlineLevel="0" collapsed="false">
      <c r="A1097" s="0" t="n">
        <v>1</v>
      </c>
      <c r="B1097" s="0" t="n">
        <f aca="false">B1096+A1097</f>
        <v>1094</v>
      </c>
      <c r="C1097" s="0" t="n">
        <f aca="false">$C$3+($G$1/($E$1*86.4))*SINH($E$1*B1097*86.4/$G$1)</f>
        <v>48488.6490330775</v>
      </c>
      <c r="D1097" s="0" t="n">
        <f aca="false">C1097-$C$3-B1097</f>
        <v>2790.64903307745</v>
      </c>
      <c r="E1097" s="0" t="n">
        <f aca="false">$E$1*B1097*86.4</f>
        <v>927256.896</v>
      </c>
      <c r="F1097" s="0" t="n">
        <f aca="false">$G$1*G1097</f>
        <v>298762.426926151</v>
      </c>
      <c r="G1097" s="0" t="n">
        <f aca="false">TANH($E$1*B1097*86.4/$G$1)</f>
        <v>0.995874756420503</v>
      </c>
      <c r="H1097" s="0" t="n">
        <f aca="false">COSH($E$1*B1097*86.4/$G$1)</f>
        <v>11.0206842270223</v>
      </c>
      <c r="I1097" s="0" t="n">
        <f aca="false">(($G$1^2*1000)/($E$1*$I$1))*(H1097-1)</f>
        <v>9.71724196861977</v>
      </c>
      <c r="J1097" s="0" t="n">
        <f aca="false">$J$3*EXP(-$E$1*B1097*86.4/$G$1)</f>
        <v>45.4630068491911</v>
      </c>
      <c r="K1097" s="0" t="n">
        <f aca="false">J1096-J1097</f>
        <v>0.12862734255927</v>
      </c>
    </row>
    <row r="1098" customFormat="false" ht="12.8" hidden="false" customHeight="false" outlineLevel="0" collapsed="false">
      <c r="A1098" s="0" t="n">
        <v>1</v>
      </c>
      <c r="B1098" s="0" t="n">
        <f aca="false">B1097+A1098</f>
        <v>1095</v>
      </c>
      <c r="C1098" s="0" t="n">
        <f aca="false">$C$3+($G$1/($E$1*86.4))*SINH($E$1*B1098*86.4/$G$1)</f>
        <v>48499.6852360129</v>
      </c>
      <c r="D1098" s="0" t="n">
        <f aca="false">C1098-$C$3-B1098</f>
        <v>2800.68523601286</v>
      </c>
      <c r="E1098" s="0" t="n">
        <f aca="false">$E$1*B1098*86.4</f>
        <v>928104.48</v>
      </c>
      <c r="F1098" s="0" t="n">
        <f aca="false">$G$1*G1098</f>
        <v>298769.385884768</v>
      </c>
      <c r="G1098" s="0" t="n">
        <f aca="false">TANH($E$1*B1098*86.4/$G$1)</f>
        <v>0.995897952949227</v>
      </c>
      <c r="H1098" s="0" t="n">
        <f aca="false">COSH($E$1*B1098*86.4/$G$1)</f>
        <v>11.0517363260044</v>
      </c>
      <c r="I1098" s="0" t="n">
        <f aca="false">(($G$1^2*1000)/($E$1*$I$1))*(H1098-1)</f>
        <v>9.74735376064986</v>
      </c>
      <c r="J1098" s="0" t="n">
        <f aca="false">$J$3*EXP(-$E$1*B1098*86.4/$G$1)</f>
        <v>45.3347424020083</v>
      </c>
      <c r="K1098" s="0" t="n">
        <f aca="false">J1097-J1098</f>
        <v>0.128264447182765</v>
      </c>
    </row>
    <row r="1099" customFormat="false" ht="12.8" hidden="false" customHeight="false" outlineLevel="0" collapsed="false">
      <c r="A1099" s="0" t="n">
        <v>1</v>
      </c>
      <c r="B1099" s="0" t="n">
        <f aca="false">B1098+A1099</f>
        <v>1096</v>
      </c>
      <c r="C1099" s="0" t="n">
        <f aca="false">$C$3+($G$1/($E$1*86.4))*SINH($E$1*B1099*86.4/$G$1)</f>
        <v>48510.7525351352</v>
      </c>
      <c r="D1099" s="0" t="n">
        <f aca="false">C1099-$C$3-B1099</f>
        <v>2810.75253513522</v>
      </c>
      <c r="E1099" s="0" t="n">
        <f aca="false">$E$1*B1099*86.4</f>
        <v>928952.064</v>
      </c>
      <c r="F1099" s="0" t="n">
        <f aca="false">$G$1*G1099</f>
        <v>298776.305792653</v>
      </c>
      <c r="G1099" s="0" t="n">
        <f aca="false">TANH($E$1*B1099*86.4/$G$1)</f>
        <v>0.995921019308845</v>
      </c>
      <c r="H1099" s="0" t="n">
        <f aca="false">COSH($E$1*B1099*86.4/$G$1)</f>
        <v>11.0828766422932</v>
      </c>
      <c r="I1099" s="0" t="n">
        <f aca="false">(($G$1^2*1000)/($E$1*$I$1))*(H1099-1)</f>
        <v>9.77755109862619</v>
      </c>
      <c r="J1099" s="0" t="n">
        <f aca="false">$J$3*EXP(-$E$1*B1099*86.4/$G$1)</f>
        <v>45.2068398263679</v>
      </c>
      <c r="K1099" s="0" t="n">
        <f aca="false">J1098-J1099</f>
        <v>0.127902575640377</v>
      </c>
    </row>
    <row r="1100" customFormat="false" ht="12.8" hidden="false" customHeight="false" outlineLevel="0" collapsed="false">
      <c r="A1100" s="0" t="n">
        <v>1</v>
      </c>
      <c r="B1100" s="0" t="n">
        <f aca="false">B1099+A1100</f>
        <v>1097</v>
      </c>
      <c r="C1100" s="0" t="n">
        <f aca="false">$C$3+($G$1/($E$1*86.4))*SINH($E$1*B1100*86.4/$G$1)</f>
        <v>48521.8510187861</v>
      </c>
      <c r="D1100" s="0" t="n">
        <f aca="false">C1100-$C$3-B1100</f>
        <v>2820.85101878607</v>
      </c>
      <c r="E1100" s="0" t="n">
        <f aca="false">$E$1*B1100*86.4</f>
        <v>929799.648</v>
      </c>
      <c r="F1100" s="0" t="n">
        <f aca="false">$G$1*G1100</f>
        <v>298783.186868046</v>
      </c>
      <c r="G1100" s="0" t="n">
        <f aca="false">TANH($E$1*B1100*86.4/$G$1)</f>
        <v>0.995943956226821</v>
      </c>
      <c r="H1100" s="0" t="n">
        <f aca="false">COSH($E$1*B1100*86.4/$G$1)</f>
        <v>11.1141054244572</v>
      </c>
      <c r="I1100" s="0" t="n">
        <f aca="false">(($G$1^2*1000)/($E$1*$I$1))*(H1100-1)</f>
        <v>9.80783422359032</v>
      </c>
      <c r="J1100" s="0" t="n">
        <f aca="false">$J$3*EXP(-$E$1*B1100*86.4/$G$1)</f>
        <v>45.0792981013245</v>
      </c>
      <c r="K1100" s="0" t="n">
        <f aca="false">J1099-J1100</f>
        <v>0.127541725043464</v>
      </c>
    </row>
    <row r="1101" customFormat="false" ht="12.8" hidden="false" customHeight="false" outlineLevel="0" collapsed="false">
      <c r="A1101" s="0" t="n">
        <v>1</v>
      </c>
      <c r="B1101" s="0" t="n">
        <f aca="false">B1100+A1101</f>
        <v>1098</v>
      </c>
      <c r="C1101" s="0" t="n">
        <f aca="false">$C$3+($G$1/($E$1*86.4))*SINH($E$1*B1101*86.4/$G$1)</f>
        <v>48532.9807755558</v>
      </c>
      <c r="D1101" s="0" t="n">
        <f aca="false">C1101-$C$3-B1101</f>
        <v>2830.98077555584</v>
      </c>
      <c r="E1101" s="0" t="n">
        <f aca="false">$E$1*B1101*86.4</f>
        <v>930647.232</v>
      </c>
      <c r="F1101" s="0" t="n">
        <f aca="false">$G$1*G1101</f>
        <v>298790.029327976</v>
      </c>
      <c r="G1101" s="0" t="n">
        <f aca="false">TANH($E$1*B1101*86.4/$G$1)</f>
        <v>0.995966764426588</v>
      </c>
      <c r="H1101" s="0" t="n">
        <f aca="false">COSH($E$1*B1101*86.4/$G$1)</f>
        <v>11.1454229217712</v>
      </c>
      <c r="I1101" s="0" t="n">
        <f aca="false">(($G$1^2*1000)/($E$1*$I$1))*(H1101-1)</f>
        <v>9.83820337726859</v>
      </c>
      <c r="J1101" s="0" t="n">
        <f aca="false">$J$3*EXP(-$E$1*B1101*86.4/$G$1)</f>
        <v>44.9521162088127</v>
      </c>
      <c r="K1101" s="0" t="n">
        <f aca="false">J1100-J1101</f>
        <v>0.127181892511743</v>
      </c>
    </row>
    <row r="1102" customFormat="false" ht="12.8" hidden="false" customHeight="false" outlineLevel="0" collapsed="false">
      <c r="A1102" s="0" t="n">
        <v>1</v>
      </c>
      <c r="B1102" s="0" t="n">
        <f aca="false">B1101+A1102</f>
        <v>1099</v>
      </c>
      <c r="C1102" s="0" t="n">
        <f aca="false">$C$3+($G$1/($E$1*86.4))*SINH($E$1*B1102*86.4/$G$1)</f>
        <v>48544.1418942846</v>
      </c>
      <c r="D1102" s="0" t="n">
        <f aca="false">C1102-$C$3-B1102</f>
        <v>2841.14189428464</v>
      </c>
      <c r="E1102" s="0" t="n">
        <f aca="false">$E$1*B1102*86.4</f>
        <v>931494.816</v>
      </c>
      <c r="F1102" s="0" t="n">
        <f aca="false">$G$1*G1102</f>
        <v>298796.83338827</v>
      </c>
      <c r="G1102" s="0" t="n">
        <f aca="false">TANH($E$1*B1102*86.4/$G$1)</f>
        <v>0.995989444627567</v>
      </c>
      <c r="H1102" s="0" t="n">
        <f aca="false">COSH($E$1*B1102*86.4/$G$1)</f>
        <v>11.1768293842182</v>
      </c>
      <c r="I1102" s="0" t="n">
        <f aca="false">(($G$1^2*1000)/($E$1*$I$1))*(H1102-1)</f>
        <v>9.86865880207403</v>
      </c>
      <c r="J1102" s="0" t="n">
        <f aca="false">$J$3*EXP(-$E$1*B1102*86.4/$G$1)</f>
        <v>44.8252931336399</v>
      </c>
      <c r="K1102" s="0" t="n">
        <f aca="false">J1101-J1102</f>
        <v>0.126823075172844</v>
      </c>
    </row>
    <row r="1103" customFormat="false" ht="12.8" hidden="false" customHeight="false" outlineLevel="0" collapsed="false">
      <c r="A1103" s="0" t="n">
        <v>1</v>
      </c>
      <c r="B1103" s="0" t="n">
        <f aca="false">B1102+A1103</f>
        <v>1100</v>
      </c>
      <c r="C1103" s="0" t="n">
        <f aca="false">$C$3+($G$1/($E$1*86.4))*SINH($E$1*B1103*86.4/$G$1)</f>
        <v>48555.3344640629</v>
      </c>
      <c r="D1103" s="0" t="n">
        <f aca="false">C1103-$C$3-B1103</f>
        <v>2851.33446406288</v>
      </c>
      <c r="E1103" s="0" t="n">
        <f aca="false">$E$1*B1103*86.4</f>
        <v>932342.4</v>
      </c>
      <c r="F1103" s="0" t="n">
        <f aca="false">$G$1*G1103</f>
        <v>298803.599263558</v>
      </c>
      <c r="G1103" s="0" t="n">
        <f aca="false">TANH($E$1*B1103*86.4/$G$1)</f>
        <v>0.996011997545194</v>
      </c>
      <c r="H1103" s="0" t="n">
        <f aca="false">COSH($E$1*B1103*86.4/$G$1)</f>
        <v>11.208325062491</v>
      </c>
      <c r="I1103" s="0" t="n">
        <f aca="false">(($G$1^2*1000)/($E$1*$I$1))*(H1103-1)</f>
        <v>9.89920074110831</v>
      </c>
      <c r="J1103" s="0" t="n">
        <f aca="false">$J$3*EXP(-$E$1*B1103*86.4/$G$1)</f>
        <v>44.6988278634772</v>
      </c>
      <c r="K1103" s="0" t="n">
        <f aca="false">J1102-J1103</f>
        <v>0.126465270162704</v>
      </c>
    </row>
    <row r="1104" customFormat="false" ht="12.8" hidden="false" customHeight="false" outlineLevel="0" collapsed="false">
      <c r="A1104" s="0" t="n">
        <v>1</v>
      </c>
      <c r="B1104" s="0" t="n">
        <f aca="false">B1103+A1104</f>
        <v>1101</v>
      </c>
      <c r="C1104" s="0" t="n">
        <f aca="false">$C$3+($G$1/($E$1*86.4))*SINH($E$1*B1104*86.4/$G$1)</f>
        <v>48566.558574232</v>
      </c>
      <c r="D1104" s="0" t="n">
        <f aca="false">C1104-$C$3-B1104</f>
        <v>2861.55857423203</v>
      </c>
      <c r="E1104" s="0" t="n">
        <f aca="false">$E$1*B1104*86.4</f>
        <v>933189.984</v>
      </c>
      <c r="F1104" s="0" t="n">
        <f aca="false">$G$1*G1104</f>
        <v>298810.327167281</v>
      </c>
      <c r="G1104" s="0" t="n">
        <f aca="false">TANH($E$1*B1104*86.4/$G$1)</f>
        <v>0.996034423890936</v>
      </c>
      <c r="H1104" s="0" t="n">
        <f aca="false">COSH($E$1*B1104*86.4/$G$1)</f>
        <v>11.2399102079951</v>
      </c>
      <c r="I1104" s="0" t="n">
        <f aca="false">(($G$1^2*1000)/($E$1*$I$1))*(H1104-1)</f>
        <v>9.92982943816369</v>
      </c>
      <c r="J1104" s="0" t="n">
        <f aca="false">$J$3*EXP(-$E$1*B1104*86.4/$G$1)</f>
        <v>44.5727193888519</v>
      </c>
      <c r="K1104" s="0" t="n">
        <f aca="false">J1103-J1104</f>
        <v>0.126108474625234</v>
      </c>
    </row>
    <row r="1105" customFormat="false" ht="12.8" hidden="false" customHeight="false" outlineLevel="0" collapsed="false">
      <c r="A1105" s="0" t="n">
        <v>1</v>
      </c>
      <c r="B1105" s="0" t="n">
        <f aca="false">B1104+A1105</f>
        <v>1102</v>
      </c>
      <c r="C1105" s="0" t="n">
        <f aca="false">$C$3+($G$1/($E$1*86.4))*SINH($E$1*B1105*86.4/$G$1)</f>
        <v>48577.8143143853</v>
      </c>
      <c r="D1105" s="0" t="n">
        <f aca="false">C1105-$C$3-B1105</f>
        <v>2871.81431438532</v>
      </c>
      <c r="E1105" s="0" t="n">
        <f aca="false">$E$1*B1105*86.4</f>
        <v>934037.568</v>
      </c>
      <c r="F1105" s="0" t="n">
        <f aca="false">$G$1*G1105</f>
        <v>298817.017311695</v>
      </c>
      <c r="G1105" s="0" t="n">
        <f aca="false">TANH($E$1*B1105*86.4/$G$1)</f>
        <v>0.996056724372316</v>
      </c>
      <c r="H1105" s="0" t="n">
        <f aca="false">COSH($E$1*B1105*86.4/$G$1)</f>
        <v>11.2715850728497</v>
      </c>
      <c r="I1105" s="0" t="n">
        <f aca="false">(($G$1^2*1000)/($E$1*$I$1))*(H1105-1)</f>
        <v>9.96054513772491</v>
      </c>
      <c r="J1105" s="0" t="n">
        <f aca="false">$J$3*EXP(-$E$1*B1105*86.4/$G$1)</f>
        <v>44.4469667031396</v>
      </c>
      <c r="K1105" s="0" t="n">
        <f aca="false">J1104-J1105</f>
        <v>0.125752685712328</v>
      </c>
    </row>
    <row r="1106" customFormat="false" ht="12.8" hidden="false" customHeight="false" outlineLevel="0" collapsed="false">
      <c r="A1106" s="0" t="n">
        <v>1</v>
      </c>
      <c r="B1106" s="0" t="n">
        <f aca="false">B1105+A1106</f>
        <v>1103</v>
      </c>
      <c r="C1106" s="0" t="n">
        <f aca="false">$C$3+($G$1/($E$1*86.4))*SINH($E$1*B1106*86.4/$G$1)</f>
        <v>48589.1017743685</v>
      </c>
      <c r="D1106" s="0" t="n">
        <f aca="false">C1106-$C$3-B1106</f>
        <v>2882.10177436845</v>
      </c>
      <c r="E1106" s="0" t="n">
        <f aca="false">$E$1*B1106*86.4</f>
        <v>934885.152</v>
      </c>
      <c r="F1106" s="0" t="n">
        <f aca="false">$G$1*G1106</f>
        <v>298823.66990788</v>
      </c>
      <c r="G1106" s="0" t="n">
        <f aca="false">TANH($E$1*B1106*86.4/$G$1)</f>
        <v>0.996078899692933</v>
      </c>
      <c r="H1106" s="0" t="n">
        <f aca="false">COSH($E$1*B1106*86.4/$G$1)</f>
        <v>11.3033499098902</v>
      </c>
      <c r="I1106" s="0" t="n">
        <f aca="false">(($G$1^2*1000)/($E$1*$I$1))*(H1106-1)</f>
        <v>9.99134808497123</v>
      </c>
      <c r="J1106" s="0" t="n">
        <f aca="false">$J$3*EXP(-$E$1*B1106*86.4/$G$1)</f>
        <v>44.3215688025555</v>
      </c>
      <c r="K1106" s="0" t="n">
        <f aca="false">J1105-J1106</f>
        <v>0.125397900584119</v>
      </c>
    </row>
    <row r="1107" customFormat="false" ht="12.8" hidden="false" customHeight="false" outlineLevel="0" collapsed="false">
      <c r="A1107" s="0" t="n">
        <v>1</v>
      </c>
      <c r="B1107" s="0" t="n">
        <f aca="false">B1106+A1107</f>
        <v>1104</v>
      </c>
      <c r="C1107" s="0" t="n">
        <f aca="false">$C$3+($G$1/($E$1*86.4))*SINH($E$1*B1107*86.4/$G$1)</f>
        <v>48600.4210442803</v>
      </c>
      <c r="D1107" s="0" t="n">
        <f aca="false">C1107-$C$3-B1107</f>
        <v>2892.42104428033</v>
      </c>
      <c r="E1107" s="0" t="n">
        <f aca="false">$E$1*B1107*86.4</f>
        <v>935732.736</v>
      </c>
      <c r="F1107" s="0" t="n">
        <f aca="false">$G$1*G1107</f>
        <v>298830.285165746</v>
      </c>
      <c r="G1107" s="0" t="n">
        <f aca="false">TANH($E$1*B1107*86.4/$G$1)</f>
        <v>0.996100950552486</v>
      </c>
      <c r="H1107" s="0" t="n">
        <f aca="false">COSH($E$1*B1107*86.4/$G$1)</f>
        <v>11.3352049726705</v>
      </c>
      <c r="I1107" s="0" t="n">
        <f aca="false">(($G$1^2*1000)/($E$1*$I$1))*(H1107-1)</f>
        <v>10.0222385257783</v>
      </c>
      <c r="J1107" s="0" t="n">
        <f aca="false">$J$3*EXP(-$E$1*B1107*86.4/$G$1)</f>
        <v>44.1965246861469</v>
      </c>
      <c r="K1107" s="0" t="n">
        <f aca="false">J1106-J1107</f>
        <v>0.125044116408546</v>
      </c>
    </row>
    <row r="1108" customFormat="false" ht="12.8" hidden="false" customHeight="false" outlineLevel="0" collapsed="false">
      <c r="A1108" s="0" t="n">
        <v>1</v>
      </c>
      <c r="B1108" s="0" t="n">
        <f aca="false">B1107+A1108</f>
        <v>1105</v>
      </c>
      <c r="C1108" s="0" t="n">
        <f aca="false">$C$3+($G$1/($E$1*86.4))*SINH($E$1*B1108*86.4/$G$1)</f>
        <v>48611.7722144738</v>
      </c>
      <c r="D1108" s="0" t="n">
        <f aca="false">C1108-$C$3-B1108</f>
        <v>2902.77221447379</v>
      </c>
      <c r="E1108" s="0" t="n">
        <f aca="false">$E$1*B1108*86.4</f>
        <v>936580.32</v>
      </c>
      <c r="F1108" s="0" t="n">
        <f aca="false">$G$1*G1108</f>
        <v>298836.863294038</v>
      </c>
      <c r="G1108" s="0" t="n">
        <f aca="false">TANH($E$1*B1108*86.4/$G$1)</f>
        <v>0.996122877646792</v>
      </c>
      <c r="H1108" s="0" t="n">
        <f aca="false">COSH($E$1*B1108*86.4/$G$1)</f>
        <v>11.3671505154643</v>
      </c>
      <c r="I1108" s="0" t="n">
        <f aca="false">(($G$1^2*1000)/($E$1*$I$1))*(H1108-1)</f>
        <v>10.0532167067202</v>
      </c>
      <c r="J1108" s="0" t="n">
        <f aca="false">$J$3*EXP(-$E$1*B1108*86.4/$G$1)</f>
        <v>44.0718333557852</v>
      </c>
      <c r="K1108" s="0" t="n">
        <f aca="false">J1107-J1108</f>
        <v>0.124691330361721</v>
      </c>
    </row>
    <row r="1109" customFormat="false" ht="12.8" hidden="false" customHeight="false" outlineLevel="0" collapsed="false">
      <c r="A1109" s="0" t="n">
        <v>1</v>
      </c>
      <c r="B1109" s="0" t="n">
        <f aca="false">B1108+A1109</f>
        <v>1106</v>
      </c>
      <c r="C1109" s="0" t="n">
        <f aca="false">$C$3+($G$1/($E$1*86.4))*SINH($E$1*B1109*86.4/$G$1)</f>
        <v>48623.1553755563</v>
      </c>
      <c r="D1109" s="0" t="n">
        <f aca="false">C1109-$C$3-B1109</f>
        <v>2913.15537555626</v>
      </c>
      <c r="E1109" s="0" t="n">
        <f aca="false">$E$1*B1109*86.4</f>
        <v>937427.904</v>
      </c>
      <c r="F1109" s="0" t="n">
        <f aca="false">$G$1*G1109</f>
        <v>298843.404500343</v>
      </c>
      <c r="G1109" s="0" t="n">
        <f aca="false">TANH($E$1*B1109*86.4/$G$1)</f>
        <v>0.996144681667809</v>
      </c>
      <c r="H1109" s="0" t="n">
        <f aca="false">COSH($E$1*B1109*86.4/$G$1)</f>
        <v>11.3991867932677</v>
      </c>
      <c r="I1109" s="0" t="n">
        <f aca="false">(($G$1^2*1000)/($E$1*$I$1))*(H1109-1)</f>
        <v>10.0842828750713</v>
      </c>
      <c r="J1109" s="0" t="n">
        <f aca="false">$J$3*EXP(-$E$1*B1109*86.4/$G$1)</f>
        <v>43.9474938161577</v>
      </c>
      <c r="K1109" s="0" t="n">
        <f aca="false">J1108-J1109</f>
        <v>0.124339539627506</v>
      </c>
    </row>
    <row r="1110" customFormat="false" ht="12.8" hidden="false" customHeight="false" outlineLevel="0" collapsed="false">
      <c r="A1110" s="0" t="n">
        <v>1</v>
      </c>
      <c r="B1110" s="0" t="n">
        <f aca="false">B1109+A1110</f>
        <v>1107</v>
      </c>
      <c r="C1110" s="0" t="n">
        <f aca="false">$C$3+($G$1/($E$1*86.4))*SINH($E$1*B1110*86.4/$G$1)</f>
        <v>48634.5706183906</v>
      </c>
      <c r="D1110" s="0" t="n">
        <f aca="false">C1110-$C$3-B1110</f>
        <v>2923.57061839056</v>
      </c>
      <c r="E1110" s="0" t="n">
        <f aca="false">$E$1*B1110*86.4</f>
        <v>938275.488</v>
      </c>
      <c r="F1110" s="0" t="n">
        <f aca="false">$G$1*G1110</f>
        <v>298849.908991097</v>
      </c>
      <c r="G1110" s="0" t="n">
        <f aca="false">TANH($E$1*B1110*86.4/$G$1)</f>
        <v>0.996166363303656</v>
      </c>
      <c r="H1110" s="0" t="n">
        <f aca="false">COSH($E$1*B1110*86.4/$G$1)</f>
        <v>11.4313140618012</v>
      </c>
      <c r="I1110" s="0" t="n">
        <f aca="false">(($G$1^2*1000)/($E$1*$I$1))*(H1110-1)</f>
        <v>10.1154372788084</v>
      </c>
      <c r="J1110" s="0" t="n">
        <f aca="false">$J$3*EXP(-$E$1*B1110*86.4/$G$1)</f>
        <v>43.8235050747598</v>
      </c>
      <c r="K1110" s="0" t="n">
        <f aca="false">J1109-J1110</f>
        <v>0.123988741397952</v>
      </c>
    </row>
    <row r="1111" customFormat="false" ht="12.8" hidden="false" customHeight="false" outlineLevel="0" collapsed="false">
      <c r="A1111" s="0" t="n">
        <v>1</v>
      </c>
      <c r="B1111" s="0" t="n">
        <f aca="false">B1110+A1111</f>
        <v>1108</v>
      </c>
      <c r="C1111" s="0" t="n">
        <f aca="false">$C$3+($G$1/($E$1*86.4))*SINH($E$1*B1111*86.4/$G$1)</f>
        <v>48646.0180340956</v>
      </c>
      <c r="D1111" s="0" t="n">
        <f aca="false">C1111-$C$3-B1111</f>
        <v>2934.01803409558</v>
      </c>
      <c r="E1111" s="0" t="n">
        <f aca="false">$E$1*B1111*86.4</f>
        <v>939123.072</v>
      </c>
      <c r="F1111" s="0" t="n">
        <f aca="false">$G$1*G1111</f>
        <v>298856.37697159</v>
      </c>
      <c r="G1111" s="0" t="n">
        <f aca="false">TANH($E$1*B1111*86.4/$G$1)</f>
        <v>0.996187923238635</v>
      </c>
      <c r="H1111" s="0" t="n">
        <f aca="false">COSH($E$1*B1111*86.4/$G$1)</f>
        <v>11.4635325775114</v>
      </c>
      <c r="I1111" s="0" t="n">
        <f aca="false">(($G$1^2*1000)/($E$1*$I$1))*(H1111-1)</f>
        <v>10.1466801666126</v>
      </c>
      <c r="J1111" s="0" t="n">
        <f aca="false">$J$3*EXP(-$E$1*B1111*86.4/$G$1)</f>
        <v>43.6998661418869</v>
      </c>
      <c r="K1111" s="0" t="n">
        <f aca="false">J1110-J1111</f>
        <v>0.123638932872886</v>
      </c>
    </row>
    <row r="1112" customFormat="false" ht="12.8" hidden="false" customHeight="false" outlineLevel="0" collapsed="false">
      <c r="A1112" s="0" t="n">
        <v>1</v>
      </c>
      <c r="B1112" s="0" t="n">
        <f aca="false">B1111+A1112</f>
        <v>1109</v>
      </c>
      <c r="C1112" s="0" t="n">
        <f aca="false">$C$3+($G$1/($E$1*86.4))*SINH($E$1*B1112*86.4/$G$1)</f>
        <v>48657.497714047</v>
      </c>
      <c r="D1112" s="0" t="n">
        <f aca="false">C1112-$C$3-B1112</f>
        <v>2944.49771404702</v>
      </c>
      <c r="E1112" s="0" t="n">
        <f aca="false">$E$1*B1112*86.4</f>
        <v>939970.656</v>
      </c>
      <c r="F1112" s="0" t="n">
        <f aca="false">$G$1*G1112</f>
        <v>298862.808645975</v>
      </c>
      <c r="G1112" s="0" t="n">
        <f aca="false">TANH($E$1*B1112*86.4/$G$1)</f>
        <v>0.996209362153251</v>
      </c>
      <c r="H1112" s="0" t="n">
        <f aca="false">COSH($E$1*B1112*86.4/$G$1)</f>
        <v>11.4958425975734</v>
      </c>
      <c r="I1112" s="0" t="n">
        <f aca="false">(($G$1^2*1000)/($E$1*$I$1))*(H1112-1)</f>
        <v>10.1780117878712</v>
      </c>
      <c r="J1112" s="0" t="n">
        <f aca="false">$J$3*EXP(-$E$1*B1112*86.4/$G$1)</f>
        <v>43.5765760306269</v>
      </c>
      <c r="K1112" s="0" t="n">
        <f aca="false">J1111-J1112</f>
        <v>0.123290111259998</v>
      </c>
    </row>
    <row r="1113" customFormat="false" ht="12.8" hidden="false" customHeight="false" outlineLevel="0" collapsed="false">
      <c r="A1113" s="0" t="n">
        <v>1</v>
      </c>
      <c r="B1113" s="0" t="n">
        <f aca="false">B1112+A1113</f>
        <v>1110</v>
      </c>
      <c r="C1113" s="0" t="n">
        <f aca="false">$C$3+($G$1/($E$1*86.4))*SINH($E$1*B1113*86.4/$G$1)</f>
        <v>48669.0097498781</v>
      </c>
      <c r="D1113" s="0" t="n">
        <f aca="false">C1113-$C$3-B1113</f>
        <v>2955.00974987813</v>
      </c>
      <c r="E1113" s="0" t="n">
        <f aca="false">$E$1*B1113*86.4</f>
        <v>940818.24</v>
      </c>
      <c r="F1113" s="0" t="n">
        <f aca="false">$G$1*G1113</f>
        <v>298869.204217271</v>
      </c>
      <c r="G1113" s="0" t="n">
        <f aca="false">TANH($E$1*B1113*86.4/$G$1)</f>
        <v>0.996230680724236</v>
      </c>
      <c r="H1113" s="0" t="n">
        <f aca="false">COSH($E$1*B1113*86.4/$G$1)</f>
        <v>11.5282443798925</v>
      </c>
      <c r="I1113" s="0" t="n">
        <f aca="false">(($G$1^2*1000)/($E$1*$I$1))*(H1113-1)</f>
        <v>10.2094323926799</v>
      </c>
      <c r="J1113" s="0" t="n">
        <f aca="false">$J$3*EXP(-$E$1*B1113*86.4/$G$1)</f>
        <v>43.4536337568519</v>
      </c>
      <c r="K1113" s="0" t="n">
        <f aca="false">J1112-J1113</f>
        <v>0.12294227377496</v>
      </c>
    </row>
    <row r="1114" customFormat="false" ht="12.8" hidden="false" customHeight="false" outlineLevel="0" collapsed="false">
      <c r="A1114" s="0" t="n">
        <v>1</v>
      </c>
      <c r="B1114" s="0" t="n">
        <f aca="false">B1113+A1114</f>
        <v>1111</v>
      </c>
      <c r="C1114" s="0" t="n">
        <f aca="false">$C$3+($G$1/($E$1*86.4))*SINH($E$1*B1114*86.4/$G$1)</f>
        <v>48680.5542334804</v>
      </c>
      <c r="D1114" s="0" t="n">
        <f aca="false">C1114-$C$3-B1114</f>
        <v>2965.55423348043</v>
      </c>
      <c r="E1114" s="0" t="n">
        <f aca="false">$E$1*B1114*86.4</f>
        <v>941665.824</v>
      </c>
      <c r="F1114" s="0" t="n">
        <f aca="false">$G$1*G1114</f>
        <v>298875.563887369</v>
      </c>
      <c r="G1114" s="0" t="n">
        <f aca="false">TANH($E$1*B1114*86.4/$G$1)</f>
        <v>0.996251879624562</v>
      </c>
      <c r="H1114" s="0" t="n">
        <f aca="false">COSH($E$1*B1114*86.4/$G$1)</f>
        <v>11.5607381831068</v>
      </c>
      <c r="I1114" s="0" t="n">
        <f aca="false">(($G$1^2*1000)/($E$1*$I$1))*(H1114-1)</f>
        <v>10.2409422318445</v>
      </c>
      <c r="J1114" s="0" t="n">
        <f aca="false">$J$3*EXP(-$E$1*B1114*86.4/$G$1)</f>
        <v>43.3310383392106</v>
      </c>
      <c r="K1114" s="0" t="n">
        <f aca="false">J1113-J1114</f>
        <v>0.122595417641278</v>
      </c>
    </row>
    <row r="1115" customFormat="false" ht="12.8" hidden="false" customHeight="false" outlineLevel="0" collapsed="false">
      <c r="A1115" s="0" t="n">
        <v>1</v>
      </c>
      <c r="B1115" s="0" t="n">
        <f aca="false">B1114+A1115</f>
        <v>1112</v>
      </c>
      <c r="C1115" s="0" t="n">
        <f aca="false">$C$3+($G$1/($E$1*86.4))*SINH($E$1*B1115*86.4/$G$1)</f>
        <v>48692.1312570044</v>
      </c>
      <c r="D1115" s="0" t="n">
        <f aca="false">C1115-$C$3-B1115</f>
        <v>2976.13125700442</v>
      </c>
      <c r="E1115" s="0" t="n">
        <f aca="false">$E$1*B1115*86.4</f>
        <v>942513.408</v>
      </c>
      <c r="F1115" s="0" t="n">
        <f aca="false">$G$1*G1115</f>
        <v>298881.887857041</v>
      </c>
      <c r="G1115" s="0" t="n">
        <f aca="false">TANH($E$1*B1115*86.4/$G$1)</f>
        <v>0.996272959523469</v>
      </c>
      <c r="H1115" s="0" t="n">
        <f aca="false">COSH($E$1*B1115*86.4/$G$1)</f>
        <v>11.5933242665886</v>
      </c>
      <c r="I1115" s="0" t="n">
        <f aca="false">(($G$1^2*1000)/($E$1*$I$1))*(H1115-1)</f>
        <v>10.2725415568835</v>
      </c>
      <c r="J1115" s="0" t="n">
        <f aca="false">$J$3*EXP(-$E$1*B1115*86.4/$G$1)</f>
        <v>43.2087887991204</v>
      </c>
      <c r="K1115" s="0" t="n">
        <f aca="false">J1114-J1115</f>
        <v>0.12224954009028</v>
      </c>
    </row>
    <row r="1116" customFormat="false" ht="12.8" hidden="false" customHeight="false" outlineLevel="0" collapsed="false">
      <c r="A1116" s="0" t="n">
        <v>1</v>
      </c>
      <c r="B1116" s="0" t="n">
        <f aca="false">B1115+A1116</f>
        <v>1113</v>
      </c>
      <c r="C1116" s="0" t="n">
        <f aca="false">$C$3+($G$1/($E$1*86.4))*SINH($E$1*B1116*86.4/$G$1)</f>
        <v>48703.7409128604</v>
      </c>
      <c r="D1116" s="0" t="n">
        <f aca="false">C1116-$C$3-B1116</f>
        <v>2986.74091286039</v>
      </c>
      <c r="E1116" s="0" t="n">
        <f aca="false">$E$1*B1116*86.4</f>
        <v>943360.992</v>
      </c>
      <c r="F1116" s="0" t="n">
        <f aca="false">$G$1*G1116</f>
        <v>298888.176325945</v>
      </c>
      <c r="G1116" s="0" t="n">
        <f aca="false">TANH($E$1*B1116*86.4/$G$1)</f>
        <v>0.996293921086484</v>
      </c>
      <c r="H1116" s="0" t="n">
        <f aca="false">COSH($E$1*B1116*86.4/$G$1)</f>
        <v>11.626002890447</v>
      </c>
      <c r="I1116" s="0" t="n">
        <f aca="false">(($G$1^2*1000)/($E$1*$I$1))*(H1116-1)</f>
        <v>10.3042306200292</v>
      </c>
      <c r="J1116" s="0" t="n">
        <f aca="false">$J$3*EXP(-$E$1*B1116*86.4/$G$1)</f>
        <v>43.0868841607593</v>
      </c>
      <c r="K1116" s="0" t="n">
        <f aca="false">J1115-J1116</f>
        <v>0.121904638361038</v>
      </c>
    </row>
    <row r="1117" customFormat="false" ht="12.8" hidden="false" customHeight="false" outlineLevel="0" collapsed="false">
      <c r="A1117" s="0" t="n">
        <v>1</v>
      </c>
      <c r="B1117" s="0" t="n">
        <f aca="false">B1116+A1117</f>
        <v>1114</v>
      </c>
      <c r="C1117" s="0" t="n">
        <f aca="false">$C$3+($G$1/($E$1*86.4))*SINH($E$1*B1117*86.4/$G$1)</f>
        <v>48715.3832937191</v>
      </c>
      <c r="D1117" s="0" t="n">
        <f aca="false">C1117-$C$3-B1117</f>
        <v>2997.38329371905</v>
      </c>
      <c r="E1117" s="0" t="n">
        <f aca="false">$E$1*B1117*86.4</f>
        <v>944208.576</v>
      </c>
      <c r="F1117" s="0" t="n">
        <f aca="false">$G$1*G1117</f>
        <v>298894.429492631</v>
      </c>
      <c r="G1117" s="0" t="n">
        <f aca="false">TANH($E$1*B1117*86.4/$G$1)</f>
        <v>0.996314764975438</v>
      </c>
      <c r="H1117" s="0" t="n">
        <f aca="false">COSH($E$1*B1117*86.4/$G$1)</f>
        <v>11.6587743155296</v>
      </c>
      <c r="I1117" s="0" t="n">
        <f aca="false">(($G$1^2*1000)/($E$1*$I$1))*(H1117-1)</f>
        <v>10.3360096742305</v>
      </c>
      <c r="J1117" s="0" t="n">
        <f aca="false">$J$3*EXP(-$E$1*B1117*86.4/$G$1)</f>
        <v>42.9653234510588</v>
      </c>
      <c r="K1117" s="0" t="n">
        <f aca="false">J1116-J1117</f>
        <v>0.121560709700546</v>
      </c>
    </row>
    <row r="1118" customFormat="false" ht="12.8" hidden="false" customHeight="false" outlineLevel="0" collapsed="false">
      <c r="A1118" s="0" t="n">
        <v>1</v>
      </c>
      <c r="B1118" s="0" t="n">
        <f aca="false">B1117+A1118</f>
        <v>1115</v>
      </c>
      <c r="C1118" s="0" t="n">
        <f aca="false">$C$3+($G$1/($E$1*86.4))*SINH($E$1*B1118*86.4/$G$1)</f>
        <v>48727.0584925124</v>
      </c>
      <c r="D1118" s="0" t="n">
        <f aca="false">C1118-$C$3-B1118</f>
        <v>3008.05849251238</v>
      </c>
      <c r="E1118" s="0" t="n">
        <f aca="false">$E$1*B1118*86.4</f>
        <v>945056.16</v>
      </c>
      <c r="F1118" s="0" t="n">
        <f aca="false">$G$1*G1118</f>
        <v>298900.647554546</v>
      </c>
      <c r="G1118" s="0" t="n">
        <f aca="false">TANH($E$1*B1118*86.4/$G$1)</f>
        <v>0.996335491848487</v>
      </c>
      <c r="H1118" s="0" t="n">
        <f aca="false">COSH($E$1*B1118*86.4/$G$1)</f>
        <v>11.6916388034251</v>
      </c>
      <c r="I1118" s="0" t="n">
        <f aca="false">(($G$1^2*1000)/($E$1*$I$1))*(H1118-1)</f>
        <v>10.3678789731546</v>
      </c>
      <c r="J1118" s="0" t="n">
        <f aca="false">$J$3*EXP(-$E$1*B1118*86.4/$G$1)</f>
        <v>42.8441056996953</v>
      </c>
      <c r="K1118" s="0" t="n">
        <f aca="false">J1117-J1118</f>
        <v>0.121217751363439</v>
      </c>
    </row>
    <row r="1119" customFormat="false" ht="12.8" hidden="false" customHeight="false" outlineLevel="0" collapsed="false">
      <c r="A1119" s="0" t="n">
        <v>1</v>
      </c>
      <c r="B1119" s="0" t="n">
        <f aca="false">B1118+A1119</f>
        <v>1116</v>
      </c>
      <c r="C1119" s="0" t="n">
        <f aca="false">$C$3+($G$1/($E$1*86.4))*SINH($E$1*B1119*86.4/$G$1)</f>
        <v>48738.7666024343</v>
      </c>
      <c r="D1119" s="0" t="n">
        <f aca="false">C1119-$C$3-B1119</f>
        <v>3018.76660243428</v>
      </c>
      <c r="E1119" s="0" t="n">
        <f aca="false">$E$1*B1119*86.4</f>
        <v>945903.744</v>
      </c>
      <c r="F1119" s="0" t="n">
        <f aca="false">$G$1*G1119</f>
        <v>298906.830708041</v>
      </c>
      <c r="G1119" s="0" t="n">
        <f aca="false">TANH($E$1*B1119*86.4/$G$1)</f>
        <v>0.996356102360137</v>
      </c>
      <c r="H1119" s="0" t="n">
        <f aca="false">COSH($E$1*B1119*86.4/$G$1)</f>
        <v>11.7245966164646</v>
      </c>
      <c r="I1119" s="0" t="n">
        <f aca="false">(($G$1^2*1000)/($E$1*$I$1))*(H1119-1)</f>
        <v>10.3998387711889</v>
      </c>
      <c r="J1119" s="0" t="n">
        <f aca="false">$J$3*EXP(-$E$1*B1119*86.4/$G$1)</f>
        <v>42.7232299390832</v>
      </c>
      <c r="K1119" s="0" t="n">
        <f aca="false">J1118-J1119</f>
        <v>0.120875760612165</v>
      </c>
    </row>
    <row r="1120" customFormat="false" ht="12.8" hidden="false" customHeight="false" outlineLevel="0" collapsed="false">
      <c r="A1120" s="0" t="n">
        <v>1</v>
      </c>
      <c r="B1120" s="0" t="n">
        <f aca="false">B1119+A1120</f>
        <v>1117</v>
      </c>
      <c r="C1120" s="0" t="n">
        <f aca="false">$C$3+($G$1/($E$1*86.4))*SINH($E$1*B1120*86.4/$G$1)</f>
        <v>48750.5077169414</v>
      </c>
      <c r="D1120" s="0" t="n">
        <f aca="false">C1120-$C$3-B1120</f>
        <v>3029.50771694137</v>
      </c>
      <c r="E1120" s="0" t="n">
        <f aca="false">$E$1*B1120*86.4</f>
        <v>946751.328</v>
      </c>
      <c r="F1120" s="0" t="n">
        <f aca="false">$G$1*G1120</f>
        <v>298912.979148377</v>
      </c>
      <c r="G1120" s="0" t="n">
        <f aca="false">TANH($E$1*B1120*86.4/$G$1)</f>
        <v>0.996376597161257</v>
      </c>
      <c r="H1120" s="0" t="n">
        <f aca="false">COSH($E$1*B1120*86.4/$G$1)</f>
        <v>11.7576480177245</v>
      </c>
      <c r="I1120" s="0" t="n">
        <f aca="false">(($G$1^2*1000)/($E$1*$I$1))*(H1120-1)</f>
        <v>10.4318893234435</v>
      </c>
      <c r="J1120" s="0" t="n">
        <f aca="false">$J$3*EXP(-$E$1*B1120*86.4/$G$1)</f>
        <v>42.6026952043663</v>
      </c>
      <c r="K1120" s="0" t="n">
        <f aca="false">J1119-J1120</f>
        <v>0.120534734716877</v>
      </c>
    </row>
    <row r="1121" customFormat="false" ht="12.8" hidden="false" customHeight="false" outlineLevel="0" collapsed="false">
      <c r="A1121" s="0" t="n">
        <v>1</v>
      </c>
      <c r="B1121" s="0" t="n">
        <f aca="false">B1120+A1121</f>
        <v>1118</v>
      </c>
      <c r="C1121" s="0" t="n">
        <f aca="false">$C$3+($G$1/($E$1*86.4))*SINH($E$1*B1121*86.4/$G$1)</f>
        <v>48762.2819297537</v>
      </c>
      <c r="D1121" s="0" t="n">
        <f aca="false">C1121-$C$3-B1121</f>
        <v>3040.28192975374</v>
      </c>
      <c r="E1121" s="0" t="n">
        <f aca="false">$E$1*B1121*86.4</f>
        <v>947598.912</v>
      </c>
      <c r="F1121" s="0" t="n">
        <f aca="false">$G$1*G1121</f>
        <v>298919.093069731</v>
      </c>
      <c r="G1121" s="0" t="n">
        <f aca="false">TANH($E$1*B1121*86.4/$G$1)</f>
        <v>0.996396976899103</v>
      </c>
      <c r="H1121" s="0" t="n">
        <f aca="false">COSH($E$1*B1121*86.4/$G$1)</f>
        <v>11.790793271028</v>
      </c>
      <c r="I1121" s="0" t="n">
        <f aca="false">(($G$1^2*1000)/($E$1*$I$1))*(H1121-1)</f>
        <v>10.4640308857525</v>
      </c>
      <c r="J1121" s="0" t="n">
        <f aca="false">$J$3*EXP(-$E$1*B1121*86.4/$G$1)</f>
        <v>42.4825005334109</v>
      </c>
      <c r="K1121" s="0" t="n">
        <f aca="false">J1120-J1121</f>
        <v>0.120194670955449</v>
      </c>
    </row>
    <row r="1122" customFormat="false" ht="12.8" hidden="false" customHeight="false" outlineLevel="0" collapsed="false">
      <c r="A1122" s="0" t="n">
        <v>1</v>
      </c>
      <c r="B1122" s="0" t="n">
        <f aca="false">B1121+A1122</f>
        <v>1119</v>
      </c>
      <c r="C1122" s="0" t="n">
        <f aca="false">$C$3+($G$1/($E$1*86.4))*SINH($E$1*B1122*86.4/$G$1)</f>
        <v>48774.0893348556</v>
      </c>
      <c r="D1122" s="0" t="n">
        <f aca="false">C1122-$C$3-B1122</f>
        <v>3051.08933485563</v>
      </c>
      <c r="E1122" s="0" t="n">
        <f aca="false">$E$1*B1122*86.4</f>
        <v>948446.496</v>
      </c>
      <c r="F1122" s="0" t="n">
        <f aca="false">$G$1*G1122</f>
        <v>298925.172665202</v>
      </c>
      <c r="G1122" s="0" t="n">
        <f aca="false">TANH($E$1*B1122*86.4/$G$1)</f>
        <v>0.996417242217339</v>
      </c>
      <c r="H1122" s="0" t="n">
        <f aca="false">COSH($E$1*B1122*86.4/$G$1)</f>
        <v>11.8240326409477</v>
      </c>
      <c r="I1122" s="0" t="n">
        <f aca="false">(($G$1^2*1000)/($E$1*$I$1))*(H1122-1)</f>
        <v>10.4962637146768</v>
      </c>
      <c r="J1122" s="0" t="n">
        <f aca="false">$J$3*EXP(-$E$1*B1122*86.4/$G$1)</f>
        <v>42.3626449667974</v>
      </c>
      <c r="K1122" s="0" t="n">
        <f aca="false">J1121-J1122</f>
        <v>0.119855566613452</v>
      </c>
    </row>
    <row r="1123" customFormat="false" ht="12.8" hidden="false" customHeight="false" outlineLevel="0" collapsed="false">
      <c r="A1123" s="0" t="n">
        <v>1</v>
      </c>
      <c r="B1123" s="0" t="n">
        <f aca="false">B1122+A1123</f>
        <v>1120</v>
      </c>
      <c r="C1123" s="0" t="n">
        <f aca="false">$C$3+($G$1/($E$1*86.4))*SINH($E$1*B1123*86.4/$G$1)</f>
        <v>48785.9300264963</v>
      </c>
      <c r="D1123" s="0" t="n">
        <f aca="false">C1123-$C$3-B1123</f>
        <v>3061.93002649627</v>
      </c>
      <c r="E1123" s="0" t="n">
        <f aca="false">$E$1*B1123*86.4</f>
        <v>949294.08</v>
      </c>
      <c r="F1123" s="0" t="n">
        <f aca="false">$G$1*G1123</f>
        <v>298931.218126815</v>
      </c>
      <c r="G1123" s="0" t="n">
        <f aca="false">TANH($E$1*B1123*86.4/$G$1)</f>
        <v>0.99643739375605</v>
      </c>
      <c r="H1123" s="0" t="n">
        <f aca="false">COSH($E$1*B1123*86.4/$G$1)</f>
        <v>11.8573663928072</v>
      </c>
      <c r="I1123" s="0" t="n">
        <f aca="false">(($G$1^2*1000)/($E$1*$I$1))*(H1123-1)</f>
        <v>10.5285880675056</v>
      </c>
      <c r="J1123" s="0" t="n">
        <f aca="false">$J$3*EXP(-$E$1*B1123*86.4/$G$1)</f>
        <v>42.2431275478134</v>
      </c>
      <c r="K1123" s="0" t="n">
        <f aca="false">J1122-J1123</f>
        <v>0.119517418983975</v>
      </c>
    </row>
    <row r="1124" customFormat="false" ht="12.8" hidden="false" customHeight="false" outlineLevel="0" collapsed="false">
      <c r="A1124" s="0" t="n">
        <v>1</v>
      </c>
      <c r="B1124" s="0" t="n">
        <f aca="false">B1123+A1124</f>
        <v>1121</v>
      </c>
      <c r="C1124" s="0" t="n">
        <f aca="false">$C$3+($G$1/($E$1*86.4))*SINH($E$1*B1124*86.4/$G$1)</f>
        <v>48797.8040991906</v>
      </c>
      <c r="D1124" s="0" t="n">
        <f aca="false">C1124-$C$3-B1124</f>
        <v>3072.80409919057</v>
      </c>
      <c r="E1124" s="0" t="n">
        <f aca="false">$E$1*B1124*86.4</f>
        <v>950141.664</v>
      </c>
      <c r="F1124" s="0" t="n">
        <f aca="false">$G$1*G1124</f>
        <v>298937.229645531</v>
      </c>
      <c r="G1124" s="0" t="n">
        <f aca="false">TANH($E$1*B1124*86.4/$G$1)</f>
        <v>0.996457432151771</v>
      </c>
      <c r="H1124" s="0" t="n">
        <f aca="false">COSH($E$1*B1124*86.4/$G$1)</f>
        <v>11.8907947926836</v>
      </c>
      <c r="I1124" s="0" t="n">
        <f aca="false">(($G$1^2*1000)/($E$1*$I$1))*(H1124-1)</f>
        <v>10.5610042022588</v>
      </c>
      <c r="J1124" s="0" t="n">
        <f aca="false">$J$3*EXP(-$E$1*B1124*86.4/$G$1)</f>
        <v>42.1239473224455</v>
      </c>
      <c r="K1124" s="0" t="n">
        <f aca="false">J1123-J1124</f>
        <v>0.11918022536797</v>
      </c>
    </row>
    <row r="1125" customFormat="false" ht="12.8" hidden="false" customHeight="false" outlineLevel="0" collapsed="false">
      <c r="A1125" s="0" t="n">
        <v>1</v>
      </c>
      <c r="B1125" s="0" t="n">
        <f aca="false">B1124+A1125</f>
        <v>1122</v>
      </c>
      <c r="C1125" s="0" t="n">
        <f aca="false">$C$3+($G$1/($E$1*86.4))*SINH($E$1*B1125*86.4/$G$1)</f>
        <v>48809.7116477199</v>
      </c>
      <c r="D1125" s="0" t="n">
        <f aca="false">C1125-$C$3-B1125</f>
        <v>3083.71164771991</v>
      </c>
      <c r="E1125" s="0" t="n">
        <f aca="false">$E$1*B1125*86.4</f>
        <v>950989.248</v>
      </c>
      <c r="F1125" s="0" t="n">
        <f aca="false">$G$1*G1125</f>
        <v>298943.20741125</v>
      </c>
      <c r="G1125" s="0" t="n">
        <f aca="false">TANH($E$1*B1125*86.4/$G$1)</f>
        <v>0.996477358037499</v>
      </c>
      <c r="H1125" s="0" t="n">
        <f aca="false">COSH($E$1*B1125*86.4/$G$1)</f>
        <v>11.9243181074095</v>
      </c>
      <c r="I1125" s="0" t="n">
        <f aca="false">(($G$1^2*1000)/($E$1*$I$1))*(H1125-1)</f>
        <v>10.5935123776889</v>
      </c>
      <c r="J1125" s="0" t="n">
        <f aca="false">$J$3*EXP(-$E$1*B1125*86.4/$G$1)</f>
        <v>42.0051033393717</v>
      </c>
      <c r="K1125" s="0" t="n">
        <f aca="false">J1124-J1125</f>
        <v>0.118843983073802</v>
      </c>
    </row>
    <row r="1126" customFormat="false" ht="12.8" hidden="false" customHeight="false" outlineLevel="0" collapsed="false">
      <c r="A1126" s="0" t="n">
        <v>1</v>
      </c>
      <c r="B1126" s="0" t="n">
        <f aca="false">B1125+A1126</f>
        <v>1123</v>
      </c>
      <c r="C1126" s="0" t="n">
        <f aca="false">$C$3+($G$1/($E$1*86.4))*SINH($E$1*B1126*86.4/$G$1)</f>
        <v>48821.6527671329</v>
      </c>
      <c r="D1126" s="0" t="n">
        <f aca="false">C1126-$C$3-B1126</f>
        <v>3094.65276713287</v>
      </c>
      <c r="E1126" s="0" t="n">
        <f aca="false">$E$1*B1126*86.4</f>
        <v>951836.832</v>
      </c>
      <c r="F1126" s="0" t="n">
        <f aca="false">$G$1*G1126</f>
        <v>298949.151612814</v>
      </c>
      <c r="G1126" s="0" t="n">
        <f aca="false">TANH($E$1*B1126*86.4/$G$1)</f>
        <v>0.996497172042715</v>
      </c>
      <c r="H1126" s="0" t="n">
        <f aca="false">COSH($E$1*B1126*86.4/$G$1)</f>
        <v>11.9579366045751</v>
      </c>
      <c r="I1126" s="0" t="n">
        <f aca="false">(($G$1^2*1000)/($E$1*$I$1))*(H1126-1)</f>
        <v>10.6261128532831</v>
      </c>
      <c r="J1126" s="0" t="n">
        <f aca="false">$J$3*EXP(-$E$1*B1126*86.4/$G$1)</f>
        <v>41.8865946499541</v>
      </c>
      <c r="K1126" s="0" t="n">
        <f aca="false">J1125-J1126</f>
        <v>0.118508689417602</v>
      </c>
    </row>
    <row r="1127" customFormat="false" ht="12.8" hidden="false" customHeight="false" outlineLevel="0" collapsed="false">
      <c r="A1127" s="0" t="n">
        <v>1</v>
      </c>
      <c r="B1127" s="0" t="n">
        <f aca="false">B1126+A1127</f>
        <v>1124</v>
      </c>
      <c r="C1127" s="0" t="n">
        <f aca="false">$C$3+($G$1/($E$1*86.4))*SINH($E$1*B1127*86.4/$G$1)</f>
        <v>48833.627552746</v>
      </c>
      <c r="D1127" s="0" t="n">
        <f aca="false">C1127-$C$3-B1127</f>
        <v>3105.62755274598</v>
      </c>
      <c r="E1127" s="0" t="n">
        <f aca="false">$E$1*B1127*86.4</f>
        <v>952684.416</v>
      </c>
      <c r="F1127" s="0" t="n">
        <f aca="false">$G$1*G1127</f>
        <v>298955.062438021</v>
      </c>
      <c r="G1127" s="0" t="n">
        <f aca="false">TANH($E$1*B1127*86.4/$G$1)</f>
        <v>0.996516874793402</v>
      </c>
      <c r="H1127" s="0" t="n">
        <f aca="false">COSH($E$1*B1127*86.4/$G$1)</f>
        <v>11.9916505525304</v>
      </c>
      <c r="I1127" s="0" t="n">
        <f aca="false">(($G$1^2*1000)/($E$1*$I$1))*(H1127-1)</f>
        <v>10.6588058892651</v>
      </c>
      <c r="J1127" s="0" t="n">
        <f aca="false">$J$3*EXP(-$E$1*B1127*86.4/$G$1)</f>
        <v>41.7684203082312</v>
      </c>
      <c r="K1127" s="0" t="n">
        <f aca="false">J1126-J1127</f>
        <v>0.118174341722849</v>
      </c>
    </row>
    <row r="1128" customFormat="false" ht="12.8" hidden="false" customHeight="false" outlineLevel="0" collapsed="false">
      <c r="A1128" s="0" t="n">
        <v>1</v>
      </c>
      <c r="B1128" s="0" t="n">
        <f aca="false">B1127+A1128</f>
        <v>1125</v>
      </c>
      <c r="C1128" s="0" t="n">
        <f aca="false">$C$3+($G$1/($E$1*86.4))*SINH($E$1*B1128*86.4/$G$1)</f>
        <v>48845.6361001446</v>
      </c>
      <c r="D1128" s="0" t="n">
        <f aca="false">C1128-$C$3-B1128</f>
        <v>3116.63610014455</v>
      </c>
      <c r="E1128" s="0" t="n">
        <f aca="false">$E$1*B1128*86.4</f>
        <v>953532</v>
      </c>
      <c r="F1128" s="0" t="n">
        <f aca="false">$G$1*G1128</f>
        <v>298960.940073621</v>
      </c>
      <c r="G1128" s="0" t="n">
        <f aca="false">TANH($E$1*B1128*86.4/$G$1)</f>
        <v>0.996536466912069</v>
      </c>
      <c r="H1128" s="0" t="n">
        <f aca="false">COSH($E$1*B1128*86.4/$G$1)</f>
        <v>12.0254602203873</v>
      </c>
      <c r="I1128" s="0" t="n">
        <f aca="false">(($G$1^2*1000)/($E$1*$I$1))*(H1128-1)</f>
        <v>10.6915917465979</v>
      </c>
      <c r="J1128" s="0" t="n">
        <f aca="false">$J$3*EXP(-$E$1*B1128*86.4/$G$1)</f>
        <v>41.6505793709103</v>
      </c>
      <c r="K1128" s="0" t="n">
        <f aca="false">J1127-J1128</f>
        <v>0.117840937320871</v>
      </c>
    </row>
    <row r="1129" customFormat="false" ht="12.8" hidden="false" customHeight="false" outlineLevel="0" collapsed="false">
      <c r="A1129" s="0" t="n">
        <v>1</v>
      </c>
      <c r="B1129" s="0" t="n">
        <f aca="false">B1128+A1129</f>
        <v>1126</v>
      </c>
      <c r="C1129" s="0" t="n">
        <f aca="false">$C$3+($G$1/($E$1*86.4))*SINH($E$1*B1129*86.4/$G$1)</f>
        <v>48857.6785051833</v>
      </c>
      <c r="D1129" s="0" t="n">
        <f aca="false">C1129-$C$3-B1129</f>
        <v>3127.67850518334</v>
      </c>
      <c r="E1129" s="0" t="n">
        <f aca="false">$E$1*B1129*86.4</f>
        <v>954379.584</v>
      </c>
      <c r="F1129" s="0" t="n">
        <f aca="false">$G$1*G1129</f>
        <v>298966.784705329</v>
      </c>
      <c r="G1129" s="0" t="n">
        <f aca="false">TANH($E$1*B1129*86.4/$G$1)</f>
        <v>0.996555949017763</v>
      </c>
      <c r="H1129" s="0" t="n">
        <f aca="false">COSH($E$1*B1129*86.4/$G$1)</f>
        <v>12.0593658780217</v>
      </c>
      <c r="I1129" s="0" t="n">
        <f aca="false">(($G$1^2*1000)/($E$1*$I$1))*(H1129-1)</f>
        <v>10.7244706869851</v>
      </c>
      <c r="J1129" s="0" t="n">
        <f aca="false">$J$3*EXP(-$E$1*B1129*86.4/$G$1)</f>
        <v>41.5330708973601</v>
      </c>
      <c r="K1129" s="0" t="n">
        <f aca="false">J1128-J1129</f>
        <v>0.117508473550217</v>
      </c>
    </row>
    <row r="1130" customFormat="false" ht="12.8" hidden="false" customHeight="false" outlineLevel="0" collapsed="false">
      <c r="A1130" s="0" t="n">
        <v>1</v>
      </c>
      <c r="B1130" s="0" t="n">
        <f aca="false">B1129+A1130</f>
        <v>1127</v>
      </c>
      <c r="C1130" s="0" t="n">
        <f aca="false">$C$3+($G$1/($E$1*86.4))*SINH($E$1*B1130*86.4/$G$1)</f>
        <v>48869.7548639874</v>
      </c>
      <c r="D1130" s="0" t="n">
        <f aca="false">C1130-$C$3-B1130</f>
        <v>3138.75486398739</v>
      </c>
      <c r="E1130" s="0" t="n">
        <f aca="false">$E$1*B1130*86.4</f>
        <v>955227.168</v>
      </c>
      <c r="F1130" s="0" t="n">
        <f aca="false">$G$1*G1130</f>
        <v>298972.596517828</v>
      </c>
      <c r="G1130" s="0" t="n">
        <f aca="false">TANH($E$1*B1130*86.4/$G$1)</f>
        <v>0.996575321726092</v>
      </c>
      <c r="H1130" s="0" t="n">
        <f aca="false">COSH($E$1*B1130*86.4/$G$1)</f>
        <v>12.0933677960759</v>
      </c>
      <c r="I1130" s="0" t="n">
        <f aca="false">(($G$1^2*1000)/($E$1*$I$1))*(H1130-1)</f>
        <v>10.7574429728734</v>
      </c>
      <c r="J1130" s="0" t="n">
        <f aca="false">$J$3*EXP(-$E$1*B1130*86.4/$G$1)</f>
        <v>41.4158939496029</v>
      </c>
      <c r="K1130" s="0" t="n">
        <f aca="false">J1129-J1130</f>
        <v>0.117176947757208</v>
      </c>
    </row>
    <row r="1131" customFormat="false" ht="12.8" hidden="false" customHeight="false" outlineLevel="0" collapsed="false">
      <c r="A1131" s="0" t="n">
        <v>1</v>
      </c>
      <c r="B1131" s="0" t="n">
        <f aca="false">B1130+A1131</f>
        <v>1128</v>
      </c>
      <c r="C1131" s="0" t="n">
        <f aca="false">$C$3+($G$1/($E$1*86.4))*SINH($E$1*B1131*86.4/$G$1)</f>
        <v>48881.8652729528</v>
      </c>
      <c r="D1131" s="0" t="n">
        <f aca="false">C1131-$C$3-B1131</f>
        <v>3149.86527295276</v>
      </c>
      <c r="E1131" s="0" t="n">
        <f aca="false">$E$1*B1131*86.4</f>
        <v>956074.752</v>
      </c>
      <c r="F1131" s="0" t="n">
        <f aca="false">$G$1*G1131</f>
        <v>298978.375694773</v>
      </c>
      <c r="G1131" s="0" t="n">
        <f aca="false">TANH($E$1*B1131*86.4/$G$1)</f>
        <v>0.996594585649244</v>
      </c>
      <c r="H1131" s="0" t="n">
        <f aca="false">COSH($E$1*B1131*86.4/$G$1)</f>
        <v>12.1274662459603</v>
      </c>
      <c r="I1131" s="0" t="n">
        <f aca="false">(($G$1^2*1000)/($E$1*$I$1))*(H1131-1)</f>
        <v>10.7905088674545</v>
      </c>
      <c r="J1131" s="0" t="n">
        <f aca="false">$J$3*EXP(-$E$1*B1131*86.4/$G$1)</f>
        <v>41.2990475923075</v>
      </c>
      <c r="K1131" s="0" t="n">
        <f aca="false">J1130-J1131</f>
        <v>0.116846357295444</v>
      </c>
    </row>
    <row r="1132" customFormat="false" ht="12.8" hidden="false" customHeight="false" outlineLevel="0" collapsed="false">
      <c r="A1132" s="0" t="n">
        <v>1</v>
      </c>
      <c r="B1132" s="0" t="n">
        <f aca="false">B1131+A1132</f>
        <v>1129</v>
      </c>
      <c r="C1132" s="0" t="n">
        <f aca="false">$C$3+($G$1/($E$1*86.4))*SINH($E$1*B1132*86.4/$G$1)</f>
        <v>48894.0098287473</v>
      </c>
      <c r="D1132" s="0" t="n">
        <f aca="false">C1132-$C$3-B1132</f>
        <v>3161.0098287473</v>
      </c>
      <c r="E1132" s="0" t="n">
        <f aca="false">$E$1*B1132*86.4</f>
        <v>956922.336</v>
      </c>
      <c r="F1132" s="0" t="n">
        <f aca="false">$G$1*G1132</f>
        <v>298984.122418801</v>
      </c>
      <c r="G1132" s="0" t="n">
        <f aca="false">TANH($E$1*B1132*86.4/$G$1)</f>
        <v>0.996613741396003</v>
      </c>
      <c r="H1132" s="0" t="n">
        <f aca="false">COSH($E$1*B1132*86.4/$G$1)</f>
        <v>12.161661499856</v>
      </c>
      <c r="I1132" s="0" t="n">
        <f aca="false">(($G$1^2*1000)/($E$1*$I$1))*(H1132-1)</f>
        <v>10.8236686346675</v>
      </c>
      <c r="J1132" s="0" t="n">
        <f aca="false">$J$3*EXP(-$E$1*B1132*86.4/$G$1)</f>
        <v>41.1825308927813</v>
      </c>
      <c r="K1132" s="0" t="n">
        <f aca="false">J1131-J1132</f>
        <v>0.116516699526137</v>
      </c>
    </row>
    <row r="1133" customFormat="false" ht="12.8" hidden="false" customHeight="false" outlineLevel="0" collapsed="false">
      <c r="A1133" s="0" t="n">
        <v>1</v>
      </c>
      <c r="B1133" s="0" t="n">
        <f aca="false">B1132+A1133</f>
        <v>1130</v>
      </c>
      <c r="C1133" s="0" t="n">
        <f aca="false">$C$3+($G$1/($E$1*86.4))*SINH($E$1*B1133*86.4/$G$1)</f>
        <v>48906.1886283115</v>
      </c>
      <c r="D1133" s="0" t="n">
        <f aca="false">C1133-$C$3-B1133</f>
        <v>3172.18862831145</v>
      </c>
      <c r="E1133" s="0" t="n">
        <f aca="false">$E$1*B1133*86.4</f>
        <v>957769.92</v>
      </c>
      <c r="F1133" s="0" t="n">
        <f aca="false">$G$1*G1133</f>
        <v>298989.836871532</v>
      </c>
      <c r="G1133" s="0" t="n">
        <f aca="false">TANH($E$1*B1133*86.4/$G$1)</f>
        <v>0.996632789571773</v>
      </c>
      <c r="H1133" s="0" t="n">
        <f aca="false">COSH($E$1*B1133*86.4/$G$1)</f>
        <v>12.1959538307167</v>
      </c>
      <c r="I1133" s="0" t="n">
        <f aca="false">(($G$1^2*1000)/($E$1*$I$1))*(H1133-1)</f>
        <v>10.8569225392006</v>
      </c>
      <c r="J1133" s="0" t="n">
        <f aca="false">$J$3*EXP(-$E$1*B1133*86.4/$G$1)</f>
        <v>41.0663429209634</v>
      </c>
      <c r="K1133" s="0" t="n">
        <f aca="false">J1132-J1133</f>
        <v>0.116187971817915</v>
      </c>
    </row>
    <row r="1134" customFormat="false" ht="12.8" hidden="false" customHeight="false" outlineLevel="0" collapsed="false">
      <c r="A1134" s="0" t="n">
        <v>1</v>
      </c>
      <c r="B1134" s="0" t="n">
        <f aca="false">B1133+A1134</f>
        <v>1131</v>
      </c>
      <c r="C1134" s="0" t="n">
        <f aca="false">$C$3+($G$1/($E$1*86.4))*SINH($E$1*B1134*86.4/$G$1)</f>
        <v>48918.401768859</v>
      </c>
      <c r="D1134" s="0" t="n">
        <f aca="false">C1134-$C$3-B1134</f>
        <v>3183.40176885896</v>
      </c>
      <c r="E1134" s="0" t="n">
        <f aca="false">$E$1*B1134*86.4</f>
        <v>958617.504</v>
      </c>
      <c r="F1134" s="0" t="n">
        <f aca="false">$G$1*G1134</f>
        <v>298995.519233577</v>
      </c>
      <c r="G1134" s="0" t="n">
        <f aca="false">TANH($E$1*B1134*86.4/$G$1)</f>
        <v>0.996651730778589</v>
      </c>
      <c r="H1134" s="0" t="n">
        <f aca="false">COSH($E$1*B1134*86.4/$G$1)</f>
        <v>12.2303435122713</v>
      </c>
      <c r="I1134" s="0" t="n">
        <f aca="false">(($G$1^2*1000)/($E$1*$I$1))*(H1134-1)</f>
        <v>10.8902708464936</v>
      </c>
      <c r="J1134" s="0" t="n">
        <f aca="false">$J$3*EXP(-$E$1*B1134*86.4/$G$1)</f>
        <v>40.9504827494167</v>
      </c>
      <c r="K1134" s="0" t="n">
        <f aca="false">J1133-J1134</f>
        <v>0.115860171546679</v>
      </c>
    </row>
    <row r="1135" customFormat="false" ht="12.8" hidden="false" customHeight="false" outlineLevel="0" collapsed="false">
      <c r="A1135" s="0" t="n">
        <v>1</v>
      </c>
      <c r="B1135" s="0" t="n">
        <f aca="false">B1134+A1135</f>
        <v>1132</v>
      </c>
      <c r="C1135" s="0" t="n">
        <f aca="false">$C$3+($G$1/($E$1*86.4))*SINH($E$1*B1135*86.4/$G$1)</f>
        <v>48930.6493478777</v>
      </c>
      <c r="D1135" s="0" t="n">
        <f aca="false">C1135-$C$3-B1135</f>
        <v>3194.64934787772</v>
      </c>
      <c r="E1135" s="0" t="n">
        <f aca="false">$E$1*B1135*86.4</f>
        <v>959465.088</v>
      </c>
      <c r="F1135" s="0" t="n">
        <f aca="false">$G$1*G1135</f>
        <v>299001.169684543</v>
      </c>
      <c r="G1135" s="0" t="n">
        <f aca="false">TANH($E$1*B1135*86.4/$G$1)</f>
        <v>0.996670565615143</v>
      </c>
      <c r="H1135" s="0" t="n">
        <f aca="false">COSH($E$1*B1135*86.4/$G$1)</f>
        <v>12.2648308190253</v>
      </c>
      <c r="I1135" s="0" t="n">
        <f aca="false">(($G$1^2*1000)/($E$1*$I$1))*(H1135-1)</f>
        <v>10.9237138227398</v>
      </c>
      <c r="J1135" s="0" t="n">
        <f aca="false">$J$3*EXP(-$E$1*B1135*86.4/$G$1)</f>
        <v>40.8349494533207</v>
      </c>
      <c r="K1135" s="0" t="n">
        <f aca="false">J1134-J1135</f>
        <v>0.115533296095997</v>
      </c>
    </row>
    <row r="1136" customFormat="false" ht="12.8" hidden="false" customHeight="false" outlineLevel="0" collapsed="false">
      <c r="A1136" s="0" t="n">
        <v>1</v>
      </c>
      <c r="B1136" s="0" t="n">
        <f aca="false">B1135+A1136</f>
        <v>1133</v>
      </c>
      <c r="C1136" s="0" t="n">
        <f aca="false">$C$3+($G$1/($E$1*86.4))*SINH($E$1*B1136*86.4/$G$1)</f>
        <v>48942.9314631305</v>
      </c>
      <c r="D1136" s="0" t="n">
        <f aca="false">C1136-$C$3-B1136</f>
        <v>3205.9314631305</v>
      </c>
      <c r="E1136" s="0" t="n">
        <f aca="false">$E$1*B1136*86.4</f>
        <v>960312.672</v>
      </c>
      <c r="F1136" s="0" t="n">
        <f aca="false">$G$1*G1136</f>
        <v>299006.788403039</v>
      </c>
      <c r="G1136" s="0" t="n">
        <f aca="false">TANH($E$1*B1136*86.4/$G$1)</f>
        <v>0.996689294676795</v>
      </c>
      <c r="H1136" s="0" t="n">
        <f aca="false">COSH($E$1*B1136*86.4/$G$1)</f>
        <v>12.2994160262638</v>
      </c>
      <c r="I1136" s="0" t="n">
        <f aca="false">(($G$1^2*1000)/($E$1*$I$1))*(H1136-1)</f>
        <v>10.9572517348881</v>
      </c>
      <c r="J1136" s="0" t="n">
        <f aca="false">$J$3*EXP(-$E$1*B1136*86.4/$G$1)</f>
        <v>40.7197421104641</v>
      </c>
      <c r="K1136" s="0" t="n">
        <f aca="false">J1135-J1136</f>
        <v>0.115207342856614</v>
      </c>
    </row>
    <row r="1137" customFormat="false" ht="12.8" hidden="false" customHeight="false" outlineLevel="0" collapsed="false">
      <c r="A1137" s="0" t="n">
        <v>1</v>
      </c>
      <c r="B1137" s="0" t="n">
        <f aca="false">B1136+A1137</f>
        <v>1134</v>
      </c>
      <c r="C1137" s="0" t="n">
        <f aca="false">$C$3+($G$1/($E$1*86.4))*SINH($E$1*B1137*86.4/$G$1)</f>
        <v>48955.2482126558</v>
      </c>
      <c r="D1137" s="0" t="n">
        <f aca="false">C1137-$C$3-B1137</f>
        <v>3217.24821265576</v>
      </c>
      <c r="E1137" s="0" t="n">
        <f aca="false">$E$1*B1137*86.4</f>
        <v>961160.256</v>
      </c>
      <c r="F1137" s="0" t="n">
        <f aca="false">$G$1*G1137</f>
        <v>299012.37556668</v>
      </c>
      <c r="G1137" s="0" t="n">
        <f aca="false">TANH($E$1*B1137*86.4/$G$1)</f>
        <v>0.996707918555599</v>
      </c>
      <c r="H1137" s="0" t="n">
        <f aca="false">COSH($E$1*B1137*86.4/$G$1)</f>
        <v>12.3340994100533</v>
      </c>
      <c r="I1137" s="0" t="n">
        <f aca="false">(($G$1^2*1000)/($E$1*$I$1))*(H1137-1)</f>
        <v>10.9908848506452</v>
      </c>
      <c r="J1137" s="0" t="n">
        <f aca="false">$J$3*EXP(-$E$1*B1137*86.4/$G$1)</f>
        <v>40.6048598012374</v>
      </c>
      <c r="K1137" s="0" t="n">
        <f aca="false">J1136-J1137</f>
        <v>0.114882309226694</v>
      </c>
    </row>
    <row r="1138" customFormat="false" ht="12.8" hidden="false" customHeight="false" outlineLevel="0" collapsed="false">
      <c r="A1138" s="0" t="n">
        <v>1</v>
      </c>
      <c r="B1138" s="0" t="n">
        <f aca="false">B1137+A1138</f>
        <v>1135</v>
      </c>
      <c r="C1138" s="0" t="n">
        <f aca="false">$C$3+($G$1/($E$1*86.4))*SINH($E$1*B1138*86.4/$G$1)</f>
        <v>48967.5996947684</v>
      </c>
      <c r="D1138" s="0" t="n">
        <f aca="false">C1138-$C$3-B1138</f>
        <v>3228.5996947684</v>
      </c>
      <c r="E1138" s="0" t="n">
        <f aca="false">$E$1*B1138*86.4</f>
        <v>962007.84</v>
      </c>
      <c r="F1138" s="0" t="n">
        <f aca="false">$G$1*G1138</f>
        <v>299017.931352094</v>
      </c>
      <c r="G1138" s="0" t="n">
        <f aca="false">TANH($E$1*B1138*86.4/$G$1)</f>
        <v>0.996726437840314</v>
      </c>
      <c r="H1138" s="0" t="n">
        <f aca="false">COSH($E$1*B1138*86.4/$G$1)</f>
        <v>12.3688812472439</v>
      </c>
      <c r="I1138" s="0" t="n">
        <f aca="false">(($G$1^2*1000)/($E$1*$I$1))*(H1138-1)</f>
        <v>11.0246134384778</v>
      </c>
      <c r="J1138" s="0" t="n">
        <f aca="false">$J$3*EXP(-$E$1*B1138*86.4/$G$1)</f>
        <v>40.4903016086257</v>
      </c>
      <c r="K1138" s="0" t="n">
        <f aca="false">J1137-J1138</f>
        <v>0.11455819261176</v>
      </c>
    </row>
    <row r="1139" customFormat="false" ht="12.8" hidden="false" customHeight="false" outlineLevel="0" collapsed="false">
      <c r="A1139" s="0" t="n">
        <v>1</v>
      </c>
      <c r="B1139" s="0" t="n">
        <f aca="false">B1138+A1139</f>
        <v>1136</v>
      </c>
      <c r="C1139" s="0" t="n">
        <f aca="false">$C$3+($G$1/($E$1*86.4))*SINH($E$1*B1139*86.4/$G$1)</f>
        <v>48979.9860080606</v>
      </c>
      <c r="D1139" s="0" t="n">
        <f aca="false">C1139-$C$3-B1139</f>
        <v>3239.98600806058</v>
      </c>
      <c r="E1139" s="0" t="n">
        <f aca="false">$E$1*B1139*86.4</f>
        <v>962855.424</v>
      </c>
      <c r="F1139" s="0" t="n">
        <f aca="false">$G$1*G1139</f>
        <v>299023.455934928</v>
      </c>
      <c r="G1139" s="0" t="n">
        <f aca="false">TANH($E$1*B1139*86.4/$G$1)</f>
        <v>0.996744853116428</v>
      </c>
      <c r="H1139" s="0" t="n">
        <f aca="false">COSH($E$1*B1139*86.4/$G$1)</f>
        <v>12.4037618154716</v>
      </c>
      <c r="I1139" s="0" t="n">
        <f aca="false">(($G$1^2*1000)/($E$1*$I$1))*(H1139-1)</f>
        <v>11.0584377676147</v>
      </c>
      <c r="J1139" s="0" t="n">
        <f aca="false">$J$3*EXP(-$E$1*B1139*86.4/$G$1)</f>
        <v>40.376066618201</v>
      </c>
      <c r="K1139" s="0" t="n">
        <f aca="false">J1138-J1139</f>
        <v>0.114234990424663</v>
      </c>
    </row>
    <row r="1140" customFormat="false" ht="12.8" hidden="false" customHeight="false" outlineLevel="0" collapsed="false">
      <c r="A1140" s="0" t="n">
        <v>1</v>
      </c>
      <c r="B1140" s="0" t="n">
        <f aca="false">B1139+A1140</f>
        <v>1137</v>
      </c>
      <c r="C1140" s="0" t="n">
        <f aca="false">$C$3+($G$1/($E$1*86.4))*SINH($E$1*B1140*86.4/$G$1)</f>
        <v>48992.4072514025</v>
      </c>
      <c r="D1140" s="0" t="n">
        <f aca="false">C1140-$C$3-B1140</f>
        <v>3251.40725140249</v>
      </c>
      <c r="E1140" s="0" t="n">
        <f aca="false">$E$1*B1140*86.4</f>
        <v>963703.008</v>
      </c>
      <c r="F1140" s="0" t="n">
        <f aca="false">$G$1*G1140</f>
        <v>299028.949489851</v>
      </c>
      <c r="G1140" s="0" t="n">
        <f aca="false">TANH($E$1*B1140*86.4/$G$1)</f>
        <v>0.996763164966172</v>
      </c>
      <c r="H1140" s="0" t="n">
        <f aca="false">COSH($E$1*B1140*86.4/$G$1)</f>
        <v>12.4387413931605</v>
      </c>
      <c r="I1140" s="0" t="n">
        <f aca="false">(($G$1^2*1000)/($E$1*$I$1))*(H1140-1)</f>
        <v>11.0923581080489</v>
      </c>
      <c r="J1140" s="0" t="n">
        <f aca="false">$J$3*EXP(-$E$1*B1140*86.4/$G$1)</f>
        <v>40.2621539181154</v>
      </c>
      <c r="K1140" s="0" t="n">
        <f aca="false">J1139-J1140</f>
        <v>0.113912700085564</v>
      </c>
    </row>
    <row r="1141" customFormat="false" ht="12.8" hidden="false" customHeight="false" outlineLevel="0" collapsed="false">
      <c r="A1141" s="0" t="n">
        <v>1</v>
      </c>
      <c r="B1141" s="0" t="n">
        <f aca="false">B1140+A1141</f>
        <v>1138</v>
      </c>
      <c r="C1141" s="0" t="n">
        <f aca="false">$C$3+($G$1/($E$1*86.4))*SINH($E$1*B1141*86.4/$G$1)</f>
        <v>49004.8635239431</v>
      </c>
      <c r="D1141" s="0" t="n">
        <f aca="false">C1141-$C$3-B1141</f>
        <v>3262.86352394312</v>
      </c>
      <c r="E1141" s="0" t="n">
        <f aca="false">$E$1*B1141*86.4</f>
        <v>964550.592</v>
      </c>
      <c r="F1141" s="0" t="n">
        <f aca="false">$G$1*G1141</f>
        <v>299034.412190561</v>
      </c>
      <c r="G1141" s="0" t="n">
        <f aca="false">TANH($E$1*B1141*86.4/$G$1)</f>
        <v>0.996781373968537</v>
      </c>
      <c r="H1141" s="0" t="n">
        <f aca="false">COSH($E$1*B1141*86.4/$G$1)</f>
        <v>12.4738202595251</v>
      </c>
      <c r="I1141" s="0" t="n">
        <f aca="false">(($G$1^2*1000)/($E$1*$I$1))*(H1141-1)</f>
        <v>11.1263747305396</v>
      </c>
      <c r="J1141" s="0" t="n">
        <f aca="false">$J$3*EXP(-$E$1*B1141*86.4/$G$1)</f>
        <v>40.1485625990937</v>
      </c>
      <c r="K1141" s="0" t="n">
        <f aca="false">J1140-J1141</f>
        <v>0.113591319021751</v>
      </c>
    </row>
    <row r="1142" customFormat="false" ht="12.8" hidden="false" customHeight="false" outlineLevel="0" collapsed="false">
      <c r="A1142" s="0" t="n">
        <v>1</v>
      </c>
      <c r="B1142" s="0" t="n">
        <f aca="false">B1141+A1142</f>
        <v>1139</v>
      </c>
      <c r="C1142" s="0" t="n">
        <f aca="false">$C$3+($G$1/($E$1*86.4))*SINH($E$1*B1142*86.4/$G$1)</f>
        <v>49017.3549251111</v>
      </c>
      <c r="D1142" s="0" t="n">
        <f aca="false">C1142-$C$3-B1142</f>
        <v>3274.35492511109</v>
      </c>
      <c r="E1142" s="0" t="n">
        <f aca="false">$E$1*B1142*86.4</f>
        <v>965398.176</v>
      </c>
      <c r="F1142" s="0" t="n">
        <f aca="false">$G$1*G1142</f>
        <v>299039.84420979</v>
      </c>
      <c r="G1142" s="0" t="n">
        <f aca="false">TANH($E$1*B1142*86.4/$G$1)</f>
        <v>0.996799480699299</v>
      </c>
      <c r="H1142" s="0" t="n">
        <f aca="false">COSH($E$1*B1142*86.4/$G$1)</f>
        <v>12.5089986945723</v>
      </c>
      <c r="I1142" s="0" t="n">
        <f aca="false">(($G$1^2*1000)/($E$1*$I$1))*(H1142-1)</f>
        <v>11.1604879066148</v>
      </c>
      <c r="J1142" s="0" t="n">
        <f aca="false">$J$3*EXP(-$E$1*B1142*86.4/$G$1)</f>
        <v>40.0352917544257</v>
      </c>
      <c r="K1142" s="0" t="n">
        <f aca="false">J1141-J1142</f>
        <v>0.113270844668023</v>
      </c>
    </row>
    <row r="1143" customFormat="false" ht="12.8" hidden="false" customHeight="false" outlineLevel="0" collapsed="false">
      <c r="A1143" s="0" t="n">
        <v>1</v>
      </c>
      <c r="B1143" s="0" t="n">
        <f aca="false">B1142+A1143</f>
        <v>1140</v>
      </c>
      <c r="C1143" s="0" t="n">
        <f aca="false">$C$3+($G$1/($E$1*86.4))*SINH($E$1*B1143*86.4/$G$1)</f>
        <v>49029.8815546154</v>
      </c>
      <c r="D1143" s="0" t="n">
        <f aca="false">C1143-$C$3-B1143</f>
        <v>3285.88155461541</v>
      </c>
      <c r="E1143" s="0" t="n">
        <f aca="false">$E$1*B1143*86.4</f>
        <v>966245.76</v>
      </c>
      <c r="F1143" s="0" t="n">
        <f aca="false">$G$1*G1143</f>
        <v>299045.245719308</v>
      </c>
      <c r="G1143" s="0" t="n">
        <f aca="false">TANH($E$1*B1143*86.4/$G$1)</f>
        <v>0.996817485731026</v>
      </c>
      <c r="H1143" s="0" t="n">
        <f aca="false">COSH($E$1*B1143*86.4/$G$1)</f>
        <v>12.5442769791038</v>
      </c>
      <c r="I1143" s="0" t="n">
        <f aca="false">(($G$1^2*1000)/($E$1*$I$1))*(H1143-1)</f>
        <v>11.1946979085732</v>
      </c>
      <c r="J1143" s="0" t="n">
        <f aca="false">$J$3*EXP(-$E$1*B1143*86.4/$G$1)</f>
        <v>39.9223404799594</v>
      </c>
      <c r="K1143" s="0" t="n">
        <f aca="false">J1142-J1143</f>
        <v>0.112951274466234</v>
      </c>
    </row>
    <row r="1144" customFormat="false" ht="12.8" hidden="false" customHeight="false" outlineLevel="0" collapsed="false">
      <c r="A1144" s="0" t="n">
        <v>1</v>
      </c>
      <c r="B1144" s="0" t="n">
        <f aca="false">B1143+A1144</f>
        <v>1141</v>
      </c>
      <c r="C1144" s="0" t="n">
        <f aca="false">$C$3+($G$1/($E$1*86.4))*SINH($E$1*B1144*86.4/$G$1)</f>
        <v>49042.4435124463</v>
      </c>
      <c r="D1144" s="0" t="n">
        <f aca="false">C1144-$C$3-B1144</f>
        <v>3297.44351244631</v>
      </c>
      <c r="E1144" s="0" t="n">
        <f aca="false">$E$1*B1144*86.4</f>
        <v>967093.344</v>
      </c>
      <c r="F1144" s="0" t="n">
        <f aca="false">$G$1*G1144</f>
        <v>299050.616889932</v>
      </c>
      <c r="G1144" s="0" t="n">
        <f aca="false">TANH($E$1*B1144*86.4/$G$1)</f>
        <v>0.996835389633105</v>
      </c>
      <c r="H1144" s="0" t="n">
        <f aca="false">COSH($E$1*B1144*86.4/$G$1)</f>
        <v>12.5796553947184</v>
      </c>
      <c r="I1144" s="0" t="n">
        <f aca="false">(($G$1^2*1000)/($E$1*$I$1))*(H1144-1)</f>
        <v>11.2290050094862</v>
      </c>
      <c r="J1144" s="0" t="n">
        <f aca="false">$J$3*EXP(-$E$1*B1144*86.4/$G$1)</f>
        <v>39.809707874094</v>
      </c>
      <c r="K1144" s="0" t="n">
        <f aca="false">J1143-J1144</f>
        <v>0.112632605865464</v>
      </c>
    </row>
    <row r="1145" customFormat="false" ht="12.8" hidden="false" customHeight="false" outlineLevel="0" collapsed="false">
      <c r="A1145" s="0" t="n">
        <v>1</v>
      </c>
      <c r="B1145" s="0" t="n">
        <f aca="false">B1144+A1145</f>
        <v>1142</v>
      </c>
      <c r="C1145" s="0" t="n">
        <f aca="false">$C$3+($G$1/($E$1*86.4))*SINH($E$1*B1145*86.4/$G$1)</f>
        <v>49055.040898876</v>
      </c>
      <c r="D1145" s="0" t="n">
        <f aca="false">C1145-$C$3-B1145</f>
        <v>3309.040898876</v>
      </c>
      <c r="E1145" s="0" t="n">
        <f aca="false">$E$1*B1145*86.4</f>
        <v>967940.928</v>
      </c>
      <c r="F1145" s="0" t="n">
        <f aca="false">$G$1*G1145</f>
        <v>299055.957891526</v>
      </c>
      <c r="G1145" s="0" t="n">
        <f aca="false">TANH($E$1*B1145*86.4/$G$1)</f>
        <v>0.996853192971754</v>
      </c>
      <c r="H1145" s="0" t="n">
        <f aca="false">COSH($E$1*B1145*86.4/$G$1)</f>
        <v>12.6151342238142</v>
      </c>
      <c r="I1145" s="0" t="n">
        <f aca="false">(($G$1^2*1000)/($E$1*$I$1))*(H1145-1)</f>
        <v>11.2634094832004</v>
      </c>
      <c r="J1145" s="0" t="n">
        <f aca="false">$J$3*EXP(-$E$1*B1145*86.4/$G$1)</f>
        <v>39.6973930377719</v>
      </c>
      <c r="K1145" s="0" t="n">
        <f aca="false">J1144-J1145</f>
        <v>0.112314836322113</v>
      </c>
    </row>
    <row r="1146" customFormat="false" ht="12.8" hidden="false" customHeight="false" outlineLevel="0" collapsed="false">
      <c r="A1146" s="0" t="n">
        <v>1</v>
      </c>
      <c r="B1146" s="0" t="n">
        <f aca="false">B1145+A1146</f>
        <v>1143</v>
      </c>
      <c r="C1146" s="0" t="n">
        <f aca="false">$C$3+($G$1/($E$1*86.4))*SINH($E$1*B1146*86.4/$G$1)</f>
        <v>49067.6738144595</v>
      </c>
      <c r="D1146" s="0" t="n">
        <f aca="false">C1146-$C$3-B1146</f>
        <v>3320.67381445949</v>
      </c>
      <c r="E1146" s="0" t="n">
        <f aca="false">$E$1*B1146*86.4</f>
        <v>968788.512</v>
      </c>
      <c r="F1146" s="0" t="n">
        <f aca="false">$G$1*G1146</f>
        <v>299061.268893012</v>
      </c>
      <c r="G1146" s="0" t="n">
        <f aca="false">TANH($E$1*B1146*86.4/$G$1)</f>
        <v>0.99687089631004</v>
      </c>
      <c r="H1146" s="0" t="n">
        <f aca="false">COSH($E$1*B1146*86.4/$G$1)</f>
        <v>12.6507137495906</v>
      </c>
      <c r="I1146" s="0" t="n">
        <f aca="false">(($G$1^2*1000)/($E$1*$I$1))*(H1146-1)</f>
        <v>11.2979116043396</v>
      </c>
      <c r="J1146" s="0" t="n">
        <f aca="false">$J$3*EXP(-$E$1*B1146*86.4/$G$1)</f>
        <v>39.5853950744722</v>
      </c>
      <c r="K1146" s="0" t="n">
        <f aca="false">J1145-J1146</f>
        <v>0.11199796329965</v>
      </c>
    </row>
    <row r="1147" customFormat="false" ht="12.8" hidden="false" customHeight="false" outlineLevel="0" collapsed="false">
      <c r="A1147" s="0" t="n">
        <v>1</v>
      </c>
      <c r="B1147" s="0" t="n">
        <f aca="false">B1146+A1147</f>
        <v>1144</v>
      </c>
      <c r="C1147" s="0" t="n">
        <f aca="false">$C$3+($G$1/($E$1*86.4))*SINH($E$1*B1147*86.4/$G$1)</f>
        <v>49080.3423600354</v>
      </c>
      <c r="D1147" s="0" t="n">
        <f aca="false">C1147-$C$3-B1147</f>
        <v>3332.3423600354</v>
      </c>
      <c r="E1147" s="0" t="n">
        <f aca="false">$E$1*B1147*86.4</f>
        <v>969636.096</v>
      </c>
      <c r="F1147" s="0" t="n">
        <f aca="false">$G$1*G1147</f>
        <v>299066.55006237</v>
      </c>
      <c r="G1147" s="0" t="n">
        <f aca="false">TANH($E$1*B1147*86.4/$G$1)</f>
        <v>0.9968885002079</v>
      </c>
      <c r="H1147" s="0" t="n">
        <f aca="false">COSH($E$1*B1147*86.4/$G$1)</f>
        <v>12.686394256051</v>
      </c>
      <c r="I1147" s="0" t="n">
        <f aca="false">(($G$1^2*1000)/($E$1*$I$1))*(H1147-1)</f>
        <v>11.332511648307</v>
      </c>
      <c r="J1147" s="0" t="n">
        <f aca="false">$J$3*EXP(-$E$1*B1147*86.4/$G$1)</f>
        <v>39.4737130902035</v>
      </c>
      <c r="K1147" s="0" t="n">
        <f aca="false">J1146-J1147</f>
        <v>0.111681984268706</v>
      </c>
    </row>
    <row r="1148" customFormat="false" ht="12.8" hidden="false" customHeight="false" outlineLevel="0" collapsed="false">
      <c r="A1148" s="0" t="n">
        <v>1</v>
      </c>
      <c r="B1148" s="0" t="n">
        <f aca="false">B1147+A1148</f>
        <v>1145</v>
      </c>
      <c r="C1148" s="0" t="n">
        <f aca="false">$C$3+($G$1/($E$1*86.4))*SINH($E$1*B1148*86.4/$G$1)</f>
        <v>49093.0466367268</v>
      </c>
      <c r="D1148" s="0" t="n">
        <f aca="false">C1148-$C$3-B1148</f>
        <v>3344.04663672675</v>
      </c>
      <c r="E1148" s="0" t="n">
        <f aca="false">$E$1*B1148*86.4</f>
        <v>970483.68</v>
      </c>
      <c r="F1148" s="0" t="n">
        <f aca="false">$G$1*G1148</f>
        <v>299071.801566646</v>
      </c>
      <c r="G1148" s="0" t="n">
        <f aca="false">TANH($E$1*B1148*86.4/$G$1)</f>
        <v>0.996906005222153</v>
      </c>
      <c r="H1148" s="0" t="n">
        <f aca="false">COSH($E$1*B1148*86.4/$G$1)</f>
        <v>12.7221760280049</v>
      </c>
      <c r="I1148" s="0" t="n">
        <f aca="false">(($G$1^2*1000)/($E$1*$I$1))*(H1148-1)</f>
        <v>11.3672098912876</v>
      </c>
      <c r="J1148" s="0" t="n">
        <f aca="false">$J$3*EXP(-$E$1*B1148*86.4/$G$1)</f>
        <v>39.3623461934964</v>
      </c>
      <c r="K1148" s="0" t="n">
        <f aca="false">J1147-J1148</f>
        <v>0.111366896707068</v>
      </c>
    </row>
    <row r="1149" customFormat="false" ht="12.8" hidden="false" customHeight="false" outlineLevel="0" collapsed="false">
      <c r="A1149" s="0" t="n">
        <v>1</v>
      </c>
      <c r="B1149" s="0" t="n">
        <f aca="false">B1148+A1149</f>
        <v>1146</v>
      </c>
      <c r="C1149" s="0" t="n">
        <f aca="false">$C$3+($G$1/($E$1*86.4))*SINH($E$1*B1149*86.4/$G$1)</f>
        <v>49105.7867459418</v>
      </c>
      <c r="D1149" s="0" t="n">
        <f aca="false">C1149-$C$3-B1149</f>
        <v>3355.78674594178</v>
      </c>
      <c r="E1149" s="0" t="n">
        <f aca="false">$E$1*B1149*86.4</f>
        <v>971331.264</v>
      </c>
      <c r="F1149" s="0" t="n">
        <f aca="false">$G$1*G1149</f>
        <v>299077.023571956</v>
      </c>
      <c r="G1149" s="0" t="n">
        <f aca="false">TANH($E$1*B1149*86.4/$G$1)</f>
        <v>0.996923411906521</v>
      </c>
      <c r="H1149" s="0" t="n">
        <f aca="false">COSH($E$1*B1149*86.4/$G$1)</f>
        <v>12.7580593510698</v>
      </c>
      <c r="I1149" s="0" t="n">
        <f aca="false">(($G$1^2*1000)/($E$1*$I$1))*(H1149-1)</f>
        <v>11.4020066102502</v>
      </c>
      <c r="J1149" s="0" t="n">
        <f aca="false">$J$3*EXP(-$E$1*B1149*86.4/$G$1)</f>
        <v>39.2512934953968</v>
      </c>
      <c r="K1149" s="0" t="n">
        <f aca="false">J1148-J1149</f>
        <v>0.111052698099648</v>
      </c>
    </row>
    <row r="1150" customFormat="false" ht="12.8" hidden="false" customHeight="false" outlineLevel="0" collapsed="false">
      <c r="A1150" s="0" t="n">
        <v>1</v>
      </c>
      <c r="B1150" s="0" t="n">
        <f aca="false">B1149+A1150</f>
        <v>1147</v>
      </c>
      <c r="C1150" s="0" t="n">
        <f aca="false">$C$3+($G$1/($E$1*86.4))*SINH($E$1*B1150*86.4/$G$1)</f>
        <v>49118.5627893747</v>
      </c>
      <c r="D1150" s="0" t="n">
        <f aca="false">C1150-$C$3-B1150</f>
        <v>3367.56278937472</v>
      </c>
      <c r="E1150" s="0" t="n">
        <f aca="false">$E$1*B1150*86.4</f>
        <v>972178.848</v>
      </c>
      <c r="F1150" s="0" t="n">
        <f aca="false">$G$1*G1150</f>
        <v>299082.216243493</v>
      </c>
      <c r="G1150" s="0" t="n">
        <f aca="false">TANH($E$1*B1150*86.4/$G$1)</f>
        <v>0.996940720811645</v>
      </c>
      <c r="H1150" s="0" t="n">
        <f aca="false">COSH($E$1*B1150*86.4/$G$1)</f>
        <v>12.7940445116741</v>
      </c>
      <c r="I1150" s="0" t="n">
        <f aca="false">(($G$1^2*1000)/($E$1*$I$1))*(H1150-1)</f>
        <v>11.4369020829494</v>
      </c>
      <c r="J1150" s="0" t="n">
        <f aca="false">$J$3*EXP(-$E$1*B1150*86.4/$G$1)</f>
        <v>39.1405541094583</v>
      </c>
      <c r="K1150" s="0" t="n">
        <f aca="false">J1149-J1150</f>
        <v>0.110739385938459</v>
      </c>
    </row>
    <row r="1151" customFormat="false" ht="12.8" hidden="false" customHeight="false" outlineLevel="0" collapsed="false">
      <c r="A1151" s="0" t="n">
        <v>1</v>
      </c>
      <c r="B1151" s="0" t="n">
        <f aca="false">B1150+A1151</f>
        <v>1148</v>
      </c>
      <c r="C1151" s="0" t="n">
        <f aca="false">$C$3+($G$1/($E$1*86.4))*SINH($E$1*B1151*86.4/$G$1)</f>
        <v>49131.3748690067</v>
      </c>
      <c r="D1151" s="0" t="n">
        <f aca="false">C1151-$C$3-B1151</f>
        <v>3379.37486900671</v>
      </c>
      <c r="E1151" s="0" t="n">
        <f aca="false">$E$1*B1151*86.4</f>
        <v>973026.432</v>
      </c>
      <c r="F1151" s="0" t="n">
        <f aca="false">$G$1*G1151</f>
        <v>299087.37974553</v>
      </c>
      <c r="G1151" s="0" t="n">
        <f aca="false">TANH($E$1*B1151*86.4/$G$1)</f>
        <v>0.996957932485099</v>
      </c>
      <c r="H1151" s="0" t="n">
        <f aca="false">COSH($E$1*B1151*86.4/$G$1)</f>
        <v>12.830131797059</v>
      </c>
      <c r="I1151" s="0" t="n">
        <f aca="false">(($G$1^2*1000)/($E$1*$I$1))*(H1151-1)</f>
        <v>11.4718965879284</v>
      </c>
      <c r="J1151" s="0" t="n">
        <f aca="false">$J$3*EXP(-$E$1*B1151*86.4/$G$1)</f>
        <v>39.0301271517357</v>
      </c>
      <c r="K1151" s="0" t="n">
        <f aca="false">J1150-J1151</f>
        <v>0.110426957722616</v>
      </c>
    </row>
    <row r="1152" customFormat="false" ht="12.8" hidden="false" customHeight="false" outlineLevel="0" collapsed="false">
      <c r="A1152" s="0" t="n">
        <v>1</v>
      </c>
      <c r="B1152" s="0" t="n">
        <f aca="false">B1151+A1152</f>
        <v>1149</v>
      </c>
      <c r="C1152" s="0" t="n">
        <f aca="false">$C$3+($G$1/($E$1*86.4))*SINH($E$1*B1152*86.4/$G$1)</f>
        <v>49144.2230871064</v>
      </c>
      <c r="D1152" s="0" t="n">
        <f aca="false">C1152-$C$3-B1152</f>
        <v>3391.22308710645</v>
      </c>
      <c r="E1152" s="0" t="n">
        <f aca="false">$E$1*B1152*86.4</f>
        <v>973874.016</v>
      </c>
      <c r="F1152" s="0" t="n">
        <f aca="false">$G$1*G1152</f>
        <v>299092.514241424</v>
      </c>
      <c r="G1152" s="0" t="n">
        <f aca="false">TANH($E$1*B1152*86.4/$G$1)</f>
        <v>0.996975047471412</v>
      </c>
      <c r="H1152" s="0" t="n">
        <f aca="false">COSH($E$1*B1152*86.4/$G$1)</f>
        <v>12.8663214952809</v>
      </c>
      <c r="I1152" s="0" t="n">
        <f aca="false">(($G$1^2*1000)/($E$1*$I$1))*(H1152-1)</f>
        <v>11.5069904045208</v>
      </c>
      <c r="J1152" s="0" t="n">
        <f aca="false">$J$3*EXP(-$E$1*B1152*86.4/$G$1)</f>
        <v>38.9200117407776</v>
      </c>
      <c r="K1152" s="0" t="n">
        <f aca="false">J1151-J1152</f>
        <v>0.110115410958116</v>
      </c>
    </row>
    <row r="1153" customFormat="false" ht="12.8" hidden="false" customHeight="false" outlineLevel="0" collapsed="false">
      <c r="A1153" s="0" t="n">
        <v>1</v>
      </c>
      <c r="B1153" s="0" t="n">
        <f aca="false">B1152+A1153</f>
        <v>1150</v>
      </c>
      <c r="C1153" s="0" t="n">
        <f aca="false">$C$3+($G$1/($E$1*86.4))*SINH($E$1*B1153*86.4/$G$1)</f>
        <v>49157.1075462312</v>
      </c>
      <c r="D1153" s="0" t="n">
        <f aca="false">C1153-$C$3-B1153</f>
        <v>3403.10754623116</v>
      </c>
      <c r="E1153" s="0" t="n">
        <f aca="false">$E$1*B1153*86.4</f>
        <v>974721.6</v>
      </c>
      <c r="F1153" s="0" t="n">
        <f aca="false">$G$1*G1153</f>
        <v>299097.619893624</v>
      </c>
      <c r="G1153" s="0" t="n">
        <f aca="false">TANH($E$1*B1153*86.4/$G$1)</f>
        <v>0.996992066312081</v>
      </c>
      <c r="H1153" s="0" t="n">
        <f aca="false">COSH($E$1*B1153*86.4/$G$1)</f>
        <v>12.9026138952136</v>
      </c>
      <c r="I1153" s="0" t="n">
        <f aca="false">(($G$1^2*1000)/($E$1*$I$1))*(H1153-1)</f>
        <v>11.5421838128529</v>
      </c>
      <c r="J1153" s="0" t="n">
        <f aca="false">$J$3*EXP(-$E$1*B1153*86.4/$G$1)</f>
        <v>38.8102069976193</v>
      </c>
      <c r="K1153" s="0" t="n">
        <f aca="false">J1152-J1153</f>
        <v>0.109804743158278</v>
      </c>
    </row>
    <row r="1154" customFormat="false" ht="12.8" hidden="false" customHeight="false" outlineLevel="0" collapsed="false">
      <c r="A1154" s="0" t="n">
        <v>1</v>
      </c>
      <c r="B1154" s="0" t="n">
        <f aca="false">B1153+A1154</f>
        <v>1151</v>
      </c>
      <c r="C1154" s="0" t="n">
        <f aca="false">$C$3+($G$1/($E$1*86.4))*SINH($E$1*B1154*86.4/$G$1)</f>
        <v>49170.0283492273</v>
      </c>
      <c r="D1154" s="0" t="n">
        <f aca="false">C1154-$C$3-B1154</f>
        <v>3415.02834922734</v>
      </c>
      <c r="E1154" s="0" t="n">
        <f aca="false">$E$1*B1154*86.4</f>
        <v>975569.184</v>
      </c>
      <c r="F1154" s="0" t="n">
        <f aca="false">$G$1*G1154</f>
        <v>299102.696863677</v>
      </c>
      <c r="G1154" s="0" t="n">
        <f aca="false">TANH($E$1*B1154*86.4/$G$1)</f>
        <v>0.99700898954559</v>
      </c>
      <c r="H1154" s="0" t="n">
        <f aca="false">COSH($E$1*B1154*86.4/$G$1)</f>
        <v>12.9390092865508</v>
      </c>
      <c r="I1154" s="0" t="n">
        <f aca="false">(($G$1^2*1000)/($E$1*$I$1))*(H1154-1)</f>
        <v>11.5774770938458</v>
      </c>
      <c r="J1154" s="0" t="n">
        <f aca="false">$J$3*EXP(-$E$1*B1154*86.4/$G$1)</f>
        <v>38.7007120457761</v>
      </c>
      <c r="K1154" s="0" t="n">
        <f aca="false">J1153-J1154</f>
        <v>0.109494951843196</v>
      </c>
    </row>
    <row r="1155" customFormat="false" ht="12.8" hidden="false" customHeight="false" outlineLevel="0" collapsed="false">
      <c r="A1155" s="0" t="n">
        <v>1</v>
      </c>
      <c r="B1155" s="0" t="n">
        <f aca="false">B1154+A1155</f>
        <v>1152</v>
      </c>
      <c r="C1155" s="0" t="n">
        <f aca="false">$C$3+($G$1/($E$1*86.4))*SINH($E$1*B1155*86.4/$G$1)</f>
        <v>49182.9855992316</v>
      </c>
      <c r="D1155" s="0" t="n">
        <f aca="false">C1155-$C$3-B1155</f>
        <v>3426.98559923156</v>
      </c>
      <c r="E1155" s="0" t="n">
        <f aca="false">$E$1*B1155*86.4</f>
        <v>976416.768</v>
      </c>
      <c r="F1155" s="0" t="n">
        <f aca="false">$G$1*G1155</f>
        <v>299107.745312227</v>
      </c>
      <c r="G1155" s="0" t="n">
        <f aca="false">TANH($E$1*B1155*86.4/$G$1)</f>
        <v>0.997025817707424</v>
      </c>
      <c r="H1155" s="0" t="n">
        <f aca="false">COSH($E$1*B1155*86.4/$G$1)</f>
        <v>12.9755079598082</v>
      </c>
      <c r="I1155" s="0" t="n">
        <f aca="false">(($G$1^2*1000)/($E$1*$I$1))*(H1155-1)</f>
        <v>11.6128705292182</v>
      </c>
      <c r="J1155" s="0" t="n">
        <f aca="false">$J$3*EXP(-$E$1*B1155*86.4/$G$1)</f>
        <v>38.591526011236</v>
      </c>
      <c r="K1155" s="0" t="n">
        <f aca="false">J1154-J1155</f>
        <v>0.109186034540073</v>
      </c>
    </row>
    <row r="1156" customFormat="false" ht="12.8" hidden="false" customHeight="false" outlineLevel="0" collapsed="false">
      <c r="A1156" s="0" t="n">
        <v>1</v>
      </c>
      <c r="B1156" s="0" t="n">
        <f aca="false">B1155+A1156</f>
        <v>1153</v>
      </c>
      <c r="C1156" s="0" t="n">
        <f aca="false">$C$3+($G$1/($E$1*86.4))*SINH($E$1*B1156*86.4/$G$1)</f>
        <v>49195.9793996714</v>
      </c>
      <c r="D1156" s="0" t="n">
        <f aca="false">C1156-$C$3-B1156</f>
        <v>3438.97939967136</v>
      </c>
      <c r="E1156" s="0" t="n">
        <f aca="false">$E$1*B1156*86.4</f>
        <v>977264.352</v>
      </c>
      <c r="F1156" s="0" t="n">
        <f aca="false">$G$1*G1156</f>
        <v>299112.765399026</v>
      </c>
      <c r="G1156" s="0" t="n">
        <f aca="false">TANH($E$1*B1156*86.4/$G$1)</f>
        <v>0.997042551330088</v>
      </c>
      <c r="H1156" s="0" t="n">
        <f aca="false">COSH($E$1*B1156*86.4/$G$1)</f>
        <v>13.012110206326</v>
      </c>
      <c r="I1156" s="0" t="n">
        <f aca="false">(($G$1^2*1000)/($E$1*$I$1))*(H1156-1)</f>
        <v>11.6483644014878</v>
      </c>
      <c r="J1156" s="0" t="n">
        <f aca="false">$J$3*EXP(-$E$1*B1156*86.4/$G$1)</f>
        <v>38.482648022453</v>
      </c>
      <c r="K1156" s="0" t="n">
        <f aca="false">J1155-J1156</f>
        <v>0.108877988783064</v>
      </c>
    </row>
    <row r="1157" customFormat="false" ht="12.8" hidden="false" customHeight="false" outlineLevel="0" collapsed="false">
      <c r="A1157" s="0" t="n">
        <v>1</v>
      </c>
      <c r="B1157" s="0" t="n">
        <f aca="false">B1156+A1157</f>
        <v>1154</v>
      </c>
      <c r="C1157" s="0" t="n">
        <f aca="false">$C$3+($G$1/($E$1*86.4))*SINH($E$1*B1157*86.4/$G$1)</f>
        <v>49209.009854266</v>
      </c>
      <c r="D1157" s="0" t="n">
        <f aca="false">C1157-$C$3-B1157</f>
        <v>3451.00985426601</v>
      </c>
      <c r="E1157" s="0" t="n">
        <f aca="false">$E$1*B1157*86.4</f>
        <v>978111.936</v>
      </c>
      <c r="F1157" s="0" t="n">
        <f aca="false">$G$1*G1157</f>
        <v>299117.757282936</v>
      </c>
      <c r="G1157" s="0" t="n">
        <f aca="false">TANH($E$1*B1157*86.4/$G$1)</f>
        <v>0.99705919094312</v>
      </c>
      <c r="H1157" s="0" t="n">
        <f aca="false">COSH($E$1*B1157*86.4/$G$1)</f>
        <v>13.048816318271</v>
      </c>
      <c r="I1157" s="0" t="n">
        <f aca="false">(($G$1^2*1000)/($E$1*$I$1))*(H1157-1)</f>
        <v>11.6839589939744</v>
      </c>
      <c r="J1157" s="0" t="n">
        <f aca="false">$J$3*EXP(-$E$1*B1157*86.4/$G$1)</f>
        <v>38.3740772103397</v>
      </c>
      <c r="K1157" s="0" t="n">
        <f aca="false">J1156-J1157</f>
        <v>0.108570812113285</v>
      </c>
    </row>
    <row r="1158" customFormat="false" ht="12.8" hidden="false" customHeight="false" outlineLevel="0" collapsed="false">
      <c r="A1158" s="0" t="n">
        <v>1</v>
      </c>
      <c r="B1158" s="0" t="n">
        <f aca="false">B1157+A1158</f>
        <v>1155</v>
      </c>
      <c r="C1158" s="0" t="n">
        <f aca="false">$C$3+($G$1/($E$1*86.4))*SINH($E$1*B1158*86.4/$G$1)</f>
        <v>49222.0770670274</v>
      </c>
      <c r="D1158" s="0" t="n">
        <f aca="false">C1158-$C$3-B1158</f>
        <v>3463.07706702737</v>
      </c>
      <c r="E1158" s="0" t="n">
        <f aca="false">$E$1*B1158*86.4</f>
        <v>978959.52</v>
      </c>
      <c r="F1158" s="0" t="n">
        <f aca="false">$G$1*G1158</f>
        <v>299122.721121934</v>
      </c>
      <c r="G1158" s="0" t="n">
        <f aca="false">TANH($E$1*B1158*86.4/$G$1)</f>
        <v>0.997075737073112</v>
      </c>
      <c r="H1158" s="0" t="n">
        <f aca="false">COSH($E$1*B1158*86.4/$G$1)</f>
        <v>13.0856265886393</v>
      </c>
      <c r="I1158" s="0" t="n">
        <f aca="false">(($G$1^2*1000)/($E$1*$I$1))*(H1158-1)</f>
        <v>11.7196545908015</v>
      </c>
      <c r="J1158" s="0" t="n">
        <f aca="false">$J$3*EXP(-$E$1*B1158*86.4/$G$1)</f>
        <v>38.2658127082609</v>
      </c>
      <c r="K1158" s="0" t="n">
        <f aca="false">J1157-J1158</f>
        <v>0.108264502078825</v>
      </c>
    </row>
    <row r="1159" customFormat="false" ht="12.8" hidden="false" customHeight="false" outlineLevel="0" collapsed="false">
      <c r="A1159" s="0" t="n">
        <v>1</v>
      </c>
      <c r="B1159" s="0" t="n">
        <f aca="false">B1158+A1159</f>
        <v>1156</v>
      </c>
      <c r="C1159" s="0" t="n">
        <f aca="false">$C$3+($G$1/($E$1*86.4))*SINH($E$1*B1159*86.4/$G$1)</f>
        <v>49235.1811422607</v>
      </c>
      <c r="D1159" s="0" t="n">
        <f aca="false">C1159-$C$3-B1159</f>
        <v>3475.1811422607</v>
      </c>
      <c r="E1159" s="0" t="n">
        <f aca="false">$E$1*B1159*86.4</f>
        <v>979807.104</v>
      </c>
      <c r="F1159" s="0" t="n">
        <f aca="false">$G$1*G1159</f>
        <v>299127.657073117</v>
      </c>
      <c r="G1159" s="0" t="n">
        <f aca="false">TANH($E$1*B1159*86.4/$G$1)</f>
        <v>0.997092190243723</v>
      </c>
      <c r="H1159" s="0" t="n">
        <f aca="false">COSH($E$1*B1159*86.4/$G$1)</f>
        <v>13.1225413112583</v>
      </c>
      <c r="I1159" s="0" t="n">
        <f aca="false">(($G$1^2*1000)/($E$1*$I$1))*(H1159-1)</f>
        <v>11.7554514768989</v>
      </c>
      <c r="J1159" s="0" t="n">
        <f aca="false">$J$3*EXP(-$E$1*B1159*86.4/$G$1)</f>
        <v>38.1578536520263</v>
      </c>
      <c r="K1159" s="0" t="n">
        <f aca="false">J1158-J1159</f>
        <v>0.107959056234584</v>
      </c>
    </row>
    <row r="1160" customFormat="false" ht="12.8" hidden="false" customHeight="false" outlineLevel="0" collapsed="false">
      <c r="A1160" s="0" t="n">
        <v>1</v>
      </c>
      <c r="B1160" s="0" t="n">
        <f aca="false">B1159+A1160</f>
        <v>1157</v>
      </c>
      <c r="C1160" s="0" t="n">
        <f aca="false">$C$3+($G$1/($E$1*86.4))*SINH($E$1*B1160*86.4/$G$1)</f>
        <v>49248.3221845655</v>
      </c>
      <c r="D1160" s="0" t="n">
        <f aca="false">C1160-$C$3-B1160</f>
        <v>3487.32218456551</v>
      </c>
      <c r="E1160" s="0" t="n">
        <f aca="false">$E$1*B1160*86.4</f>
        <v>980654.688</v>
      </c>
      <c r="F1160" s="0" t="n">
        <f aca="false">$G$1*G1160</f>
        <v>299132.565292709</v>
      </c>
      <c r="G1160" s="0" t="n">
        <f aca="false">TANH($E$1*B1160*86.4/$G$1)</f>
        <v>0.997108550975696</v>
      </c>
      <c r="H1160" s="0" t="n">
        <f aca="false">COSH($E$1*B1160*86.4/$G$1)</f>
        <v>13.1595607807891</v>
      </c>
      <c r="I1160" s="0" t="n">
        <f aca="false">(($G$1^2*1000)/($E$1*$I$1))*(H1160-1)</f>
        <v>11.7913499380051</v>
      </c>
      <c r="J1160" s="0" t="n">
        <f aca="false">$J$3*EXP(-$E$1*B1160*86.4/$G$1)</f>
        <v>38.0501991798838</v>
      </c>
      <c r="K1160" s="0" t="n">
        <f aca="false">J1159-J1160</f>
        <v>0.107654472142443</v>
      </c>
    </row>
    <row r="1161" customFormat="false" ht="12.8" hidden="false" customHeight="false" outlineLevel="0" collapsed="false">
      <c r="A1161" s="0" t="n">
        <v>1</v>
      </c>
      <c r="B1161" s="0" t="n">
        <f aca="false">B1160+A1161</f>
        <v>1158</v>
      </c>
      <c r="C1161" s="0" t="n">
        <f aca="false">$C$3+($G$1/($E$1*86.4))*SINH($E$1*B1161*86.4/$G$1)</f>
        <v>49261.5002988364</v>
      </c>
      <c r="D1161" s="0" t="n">
        <f aca="false">C1161-$C$3-B1161</f>
        <v>3499.50029883641</v>
      </c>
      <c r="E1161" s="0" t="n">
        <f aca="false">$E$1*B1161*86.4</f>
        <v>981502.272</v>
      </c>
      <c r="F1161" s="0" t="n">
        <f aca="false">$G$1*G1161</f>
        <v>299137.445936062</v>
      </c>
      <c r="G1161" s="0" t="n">
        <f aca="false">TANH($E$1*B1161*86.4/$G$1)</f>
        <v>0.997124819786874</v>
      </c>
      <c r="H1161" s="0" t="n">
        <f aca="false">COSH($E$1*B1161*86.4/$G$1)</f>
        <v>13.196685292729</v>
      </c>
      <c r="I1161" s="0" t="n">
        <f aca="false">(($G$1^2*1000)/($E$1*$I$1))*(H1161-1)</f>
        <v>11.8273502606691</v>
      </c>
      <c r="J1161" s="0" t="n">
        <f aca="false">$J$3*EXP(-$E$1*B1161*86.4/$G$1)</f>
        <v>37.9428484325126</v>
      </c>
      <c r="K1161" s="0" t="n">
        <f aca="false">J1160-J1161</f>
        <v>0.107350747371214</v>
      </c>
    </row>
    <row r="1162" customFormat="false" ht="12.8" hidden="false" customHeight="false" outlineLevel="0" collapsed="false">
      <c r="A1162" s="0" t="n">
        <v>1</v>
      </c>
      <c r="B1162" s="0" t="n">
        <f aca="false">B1161+A1162</f>
        <v>1159</v>
      </c>
      <c r="C1162" s="0" t="n">
        <f aca="false">$C$3+($G$1/($E$1*86.4))*SINH($E$1*B1162*86.4/$G$1)</f>
        <v>49274.7155902639</v>
      </c>
      <c r="D1162" s="0" t="n">
        <f aca="false">C1162-$C$3-B1162</f>
        <v>3511.71559026388</v>
      </c>
      <c r="E1162" s="0" t="n">
        <f aca="false">$E$1*B1162*86.4</f>
        <v>982349.856</v>
      </c>
      <c r="F1162" s="0" t="n">
        <f aca="false">$G$1*G1162</f>
        <v>299142.299157664</v>
      </c>
      <c r="G1162" s="0" t="n">
        <f aca="false">TANH($E$1*B1162*86.4/$G$1)</f>
        <v>0.997140997192214</v>
      </c>
      <c r="H1162" s="0" t="n">
        <f aca="false">COSH($E$1*B1162*86.4/$G$1)</f>
        <v>13.2339151434137</v>
      </c>
      <c r="I1162" s="0" t="n">
        <f aca="false">(($G$1^2*1000)/($E$1*$I$1))*(H1162-1)</f>
        <v>11.8634527322531</v>
      </c>
      <c r="J1162" s="0" t="n">
        <f aca="false">$J$3*EXP(-$E$1*B1162*86.4/$G$1)</f>
        <v>37.8358005530162</v>
      </c>
      <c r="K1162" s="0" t="n">
        <f aca="false">J1161-J1162</f>
        <v>0.107047879496385</v>
      </c>
    </row>
    <row r="1163" customFormat="false" ht="12.8" hidden="false" customHeight="false" outlineLevel="0" collapsed="false">
      <c r="A1163" s="0" t="n">
        <v>1</v>
      </c>
      <c r="B1163" s="0" t="n">
        <f aca="false">B1162+A1163</f>
        <v>1160</v>
      </c>
      <c r="C1163" s="0" t="n">
        <f aca="false">$C$3+($G$1/($E$1*86.4))*SINH($E$1*B1163*86.4/$G$1)</f>
        <v>49287.9681643352</v>
      </c>
      <c r="D1163" s="0" t="n">
        <f aca="false">C1163-$C$3-B1163</f>
        <v>3523.96816433519</v>
      </c>
      <c r="E1163" s="0" t="n">
        <f aca="false">$E$1*B1163*86.4</f>
        <v>983197.44</v>
      </c>
      <c r="F1163" s="0" t="n">
        <f aca="false">$G$1*G1163</f>
        <v>299147.125111143</v>
      </c>
      <c r="G1163" s="0" t="n">
        <f aca="false">TANH($E$1*B1163*86.4/$G$1)</f>
        <v>0.997157083703809</v>
      </c>
      <c r="H1163" s="0" t="n">
        <f aca="false">COSH($E$1*B1163*86.4/$G$1)</f>
        <v>13.2712506300199</v>
      </c>
      <c r="I1163" s="0" t="n">
        <f aca="false">(($G$1^2*1000)/($E$1*$I$1))*(H1163-1)</f>
        <v>11.8996576409349</v>
      </c>
      <c r="J1163" s="0" t="n">
        <f aca="false">$J$3*EXP(-$E$1*B1163*86.4/$G$1)</f>
        <v>37.7290546869157</v>
      </c>
      <c r="K1163" s="0" t="n">
        <f aca="false">J1162-J1163</f>
        <v>0.106745866100503</v>
      </c>
    </row>
    <row r="1164" customFormat="false" ht="12.8" hidden="false" customHeight="false" outlineLevel="0" collapsed="false">
      <c r="A1164" s="0" t="n">
        <v>1</v>
      </c>
      <c r="B1164" s="0" t="n">
        <f aca="false">B1163+A1164</f>
        <v>1161</v>
      </c>
      <c r="C1164" s="0" t="n">
        <f aca="false">$C$3+($G$1/($E$1*86.4))*SINH($E$1*B1164*86.4/$G$1)</f>
        <v>49301.2581268352</v>
      </c>
      <c r="D1164" s="0" t="n">
        <f aca="false">C1164-$C$3-B1164</f>
        <v>3536.25812683522</v>
      </c>
      <c r="E1164" s="0" t="n">
        <f aca="false">$E$1*B1164*86.4</f>
        <v>984045.024</v>
      </c>
      <c r="F1164" s="0" t="n">
        <f aca="false">$G$1*G1164</f>
        <v>299151.923949269</v>
      </c>
      <c r="G1164" s="0" t="n">
        <f aca="false">TANH($E$1*B1164*86.4/$G$1)</f>
        <v>0.997173079830896</v>
      </c>
      <c r="H1164" s="0" t="n">
        <f aca="false">COSH($E$1*B1164*86.4/$G$1)</f>
        <v>13.3086920505672</v>
      </c>
      <c r="I1164" s="0" t="n">
        <f aca="false">(($G$1^2*1000)/($E$1*$I$1))*(H1164-1)</f>
        <v>11.9359652757095</v>
      </c>
      <c r="J1164" s="0" t="n">
        <f aca="false">$J$3*EXP(-$E$1*B1164*86.4/$G$1)</f>
        <v>37.6226099821429</v>
      </c>
      <c r="K1164" s="0" t="n">
        <f aca="false">J1163-J1164</f>
        <v>0.106444704772805</v>
      </c>
    </row>
    <row r="1165" customFormat="false" ht="12.8" hidden="false" customHeight="false" outlineLevel="0" collapsed="false">
      <c r="A1165" s="0" t="n">
        <v>1</v>
      </c>
      <c r="B1165" s="0" t="n">
        <f aca="false">B1164+A1165</f>
        <v>1162</v>
      </c>
      <c r="C1165" s="0" t="n">
        <f aca="false">$C$3+($G$1/($E$1*86.4))*SINH($E$1*B1165*86.4/$G$1)</f>
        <v>49314.5855838473</v>
      </c>
      <c r="D1165" s="0" t="n">
        <f aca="false">C1165-$C$3-B1165</f>
        <v>3548.58558384726</v>
      </c>
      <c r="E1165" s="0" t="n">
        <f aca="false">$E$1*B1165*86.4</f>
        <v>984892.608</v>
      </c>
      <c r="F1165" s="0" t="n">
        <f aca="false">$G$1*G1165</f>
        <v>299156.695823963</v>
      </c>
      <c r="G1165" s="0" t="n">
        <f aca="false">TANH($E$1*B1165*86.4/$G$1)</f>
        <v>0.997188986079876</v>
      </c>
      <c r="H1165" s="0" t="n">
        <f aca="false">COSH($E$1*B1165*86.4/$G$1)</f>
        <v>13.346239703921</v>
      </c>
      <c r="I1165" s="0" t="n">
        <f aca="false">(($G$1^2*1000)/($E$1*$I$1))*(H1165-1)</f>
        <v>11.9723759263924</v>
      </c>
      <c r="J1165" s="0" t="n">
        <f aca="false">$J$3*EXP(-$E$1*B1165*86.4/$G$1)</f>
        <v>37.5164655890336</v>
      </c>
      <c r="K1165" s="0" t="n">
        <f aca="false">J1164-J1165</f>
        <v>0.106144393109339</v>
      </c>
    </row>
    <row r="1166" customFormat="false" ht="12.8" hidden="false" customHeight="false" outlineLevel="0" collapsed="false">
      <c r="A1166" s="0" t="n">
        <v>1</v>
      </c>
      <c r="B1166" s="0" t="n">
        <f aca="false">B1165+A1166</f>
        <v>1163</v>
      </c>
      <c r="C1166" s="0" t="n">
        <f aca="false">$C$3+($G$1/($E$1*86.4))*SINH($E$1*B1166*86.4/$G$1)</f>
        <v>49327.9506417539</v>
      </c>
      <c r="D1166" s="0" t="n">
        <f aca="false">C1166-$C$3-B1166</f>
        <v>3560.95064175389</v>
      </c>
      <c r="E1166" s="0" t="n">
        <f aca="false">$E$1*B1166*86.4</f>
        <v>985740.192</v>
      </c>
      <c r="F1166" s="0" t="n">
        <f aca="false">$G$1*G1166</f>
        <v>299161.440886299</v>
      </c>
      <c r="G1166" s="0" t="n">
        <f aca="false">TANH($E$1*B1166*86.4/$G$1)</f>
        <v>0.99720480295433</v>
      </c>
      <c r="H1166" s="0" t="n">
        <f aca="false">COSH($E$1*B1166*86.4/$G$1)</f>
        <v>13.3838938897948</v>
      </c>
      <c r="I1166" s="0" t="n">
        <f aca="false">(($G$1^2*1000)/($E$1*$I$1))*(H1166-1)</f>
        <v>12.008889883621</v>
      </c>
      <c r="J1166" s="0" t="n">
        <f aca="false">$J$3*EXP(-$E$1*B1166*86.4/$G$1)</f>
        <v>37.4106206603206</v>
      </c>
      <c r="K1166" s="0" t="n">
        <f aca="false">J1165-J1166</f>
        <v>0.105844928712962</v>
      </c>
    </row>
    <row r="1167" customFormat="false" ht="12.8" hidden="false" customHeight="false" outlineLevel="0" collapsed="false">
      <c r="A1167" s="0" t="n">
        <v>1</v>
      </c>
      <c r="B1167" s="0" t="n">
        <f aca="false">B1166+A1167</f>
        <v>1164</v>
      </c>
      <c r="C1167" s="0" t="n">
        <f aca="false">$C$3+($G$1/($E$1*86.4))*SINH($E$1*B1167*86.4/$G$1)</f>
        <v>49341.3534072379</v>
      </c>
      <c r="D1167" s="0" t="n">
        <f aca="false">C1167-$C$3-B1167</f>
        <v>3573.35340723787</v>
      </c>
      <c r="E1167" s="0" t="n">
        <f aca="false">$E$1*B1167*86.4</f>
        <v>986587.776</v>
      </c>
      <c r="F1167" s="0" t="n">
        <f aca="false">$G$1*G1167</f>
        <v>299166.159286509</v>
      </c>
      <c r="G1167" s="0" t="n">
        <f aca="false">TANH($E$1*B1167*86.4/$G$1)</f>
        <v>0.997220530955031</v>
      </c>
      <c r="H1167" s="0" t="n">
        <f aca="false">COSH($E$1*B1167*86.4/$G$1)</f>
        <v>13.4216549087521</v>
      </c>
      <c r="I1167" s="0" t="n">
        <f aca="false">(($G$1^2*1000)/($E$1*$I$1))*(H1167-1)</f>
        <v>12.0455074388574</v>
      </c>
      <c r="J1167" s="0" t="n">
        <f aca="false">$J$3*EXP(-$E$1*B1167*86.4/$G$1)</f>
        <v>37.3050743511274</v>
      </c>
      <c r="K1167" s="0" t="n">
        <f aca="false">J1166-J1167</f>
        <v>0.105546309193258</v>
      </c>
    </row>
    <row r="1168" customFormat="false" ht="12.8" hidden="false" customHeight="false" outlineLevel="0" collapsed="false">
      <c r="A1168" s="0" t="n">
        <v>1</v>
      </c>
      <c r="B1168" s="0" t="n">
        <f aca="false">B1167+A1168</f>
        <v>1165</v>
      </c>
      <c r="C1168" s="0" t="n">
        <f aca="false">$C$3+($G$1/($E$1*86.4))*SINH($E$1*B1168*86.4/$G$1)</f>
        <v>49354.7939872829</v>
      </c>
      <c r="D1168" s="0" t="n">
        <f aca="false">C1168-$C$3-B1168</f>
        <v>3585.79398728289</v>
      </c>
      <c r="E1168" s="0" t="n">
        <f aca="false">$E$1*B1168*86.4</f>
        <v>987435.36</v>
      </c>
      <c r="F1168" s="0" t="n">
        <f aca="false">$G$1*G1168</f>
        <v>299170.85117399</v>
      </c>
      <c r="G1168" s="0" t="n">
        <f aca="false">TANH($E$1*B1168*86.4/$G$1)</f>
        <v>0.997236170579966</v>
      </c>
      <c r="H1168" s="0" t="n">
        <f aca="false">COSH($E$1*B1168*86.4/$G$1)</f>
        <v>13.4595230622096</v>
      </c>
      <c r="I1168" s="0" t="n">
        <f aca="false">(($G$1^2*1000)/($E$1*$I$1))*(H1168-1)</f>
        <v>12.0822288843909</v>
      </c>
      <c r="J1168" s="0" t="n">
        <f aca="false">$J$3*EXP(-$E$1*B1168*86.4/$G$1)</f>
        <v>37.1998258189607</v>
      </c>
      <c r="K1168" s="0" t="n">
        <f aca="false">J1167-J1168</f>
        <v>0.105248532166677</v>
      </c>
    </row>
    <row r="1169" customFormat="false" ht="12.8" hidden="false" customHeight="false" outlineLevel="0" collapsed="false">
      <c r="A1169" s="0" t="n">
        <v>1</v>
      </c>
      <c r="B1169" s="0" t="n">
        <f aca="false">B1168+A1169</f>
        <v>1166</v>
      </c>
      <c r="C1169" s="0" t="n">
        <f aca="false">$C$3+($G$1/($E$1*86.4))*SINH($E$1*B1169*86.4/$G$1)</f>
        <v>49368.2724891745</v>
      </c>
      <c r="D1169" s="0" t="n">
        <f aca="false">C1169-$C$3-B1169</f>
        <v>3598.27248917453</v>
      </c>
      <c r="E1169" s="0" t="n">
        <f aca="false">$E$1*B1169*86.4</f>
        <v>988282.944</v>
      </c>
      <c r="F1169" s="0" t="n">
        <f aca="false">$G$1*G1169</f>
        <v>299175.516697303</v>
      </c>
      <c r="G1169" s="0" t="n">
        <f aca="false">TANH($E$1*B1169*86.4/$G$1)</f>
        <v>0.997251722324343</v>
      </c>
      <c r="H1169" s="0" t="n">
        <f aca="false">COSH($E$1*B1169*86.4/$G$1)</f>
        <v>13.4974986524387</v>
      </c>
      <c r="I1169" s="0" t="n">
        <f aca="false">(($G$1^2*1000)/($E$1*$I$1))*(H1169-1)</f>
        <v>12.1190545133398</v>
      </c>
      <c r="J1169" s="0" t="n">
        <f aca="false">$J$3*EXP(-$E$1*B1169*86.4/$G$1)</f>
        <v>37.0948742237045</v>
      </c>
      <c r="K1169" s="0" t="n">
        <f aca="false">J1168-J1169</f>
        <v>0.104951595256154</v>
      </c>
    </row>
    <row r="1170" customFormat="false" ht="12.8" hidden="false" customHeight="false" outlineLevel="0" collapsed="false">
      <c r="A1170" s="0" t="n">
        <v>1</v>
      </c>
      <c r="B1170" s="0" t="n">
        <f aca="false">B1169+A1170</f>
        <v>1167</v>
      </c>
      <c r="C1170" s="0" t="n">
        <f aca="false">$C$3+($G$1/($E$1*86.4))*SINH($E$1*B1170*86.4/$G$1)</f>
        <v>49381.7890205011</v>
      </c>
      <c r="D1170" s="0" t="n">
        <f aca="false">C1170-$C$3-B1170</f>
        <v>3610.78902050106</v>
      </c>
      <c r="E1170" s="0" t="n">
        <f aca="false">$E$1*B1170*86.4</f>
        <v>989130.528</v>
      </c>
      <c r="F1170" s="0" t="n">
        <f aca="false">$G$1*G1170</f>
        <v>299180.156004184</v>
      </c>
      <c r="G1170" s="0" t="n">
        <f aca="false">TANH($E$1*B1170*86.4/$G$1)</f>
        <v>0.997267186680613</v>
      </c>
      <c r="H1170" s="0" t="n">
        <f aca="false">COSH($E$1*B1170*86.4/$G$1)</f>
        <v>13.5355819825688</v>
      </c>
      <c r="I1170" s="0" t="n">
        <f aca="false">(($G$1^2*1000)/($E$1*$I$1))*(H1170-1)</f>
        <v>12.155984619654</v>
      </c>
      <c r="J1170" s="0" t="n">
        <f aca="false">$J$3*EXP(-$E$1*B1170*86.4/$G$1)</f>
        <v>36.990218727613</v>
      </c>
      <c r="K1170" s="0" t="n">
        <f aca="false">J1169-J1170</f>
        <v>0.104655496091596</v>
      </c>
    </row>
    <row r="1171" customFormat="false" ht="12.8" hidden="false" customHeight="false" outlineLevel="0" collapsed="false">
      <c r="A1171" s="0" t="n">
        <v>1</v>
      </c>
      <c r="B1171" s="0" t="n">
        <f aca="false">B1170+A1171</f>
        <v>1168</v>
      </c>
      <c r="C1171" s="0" t="n">
        <f aca="false">$C$3+($G$1/($E$1*86.4))*SINH($E$1*B1171*86.4/$G$1)</f>
        <v>49395.3436891543</v>
      </c>
      <c r="D1171" s="0" t="n">
        <f aca="false">C1171-$C$3-B1171</f>
        <v>3623.34368915429</v>
      </c>
      <c r="E1171" s="0" t="n">
        <f aca="false">$E$1*B1171*86.4</f>
        <v>989978.112</v>
      </c>
      <c r="F1171" s="0" t="n">
        <f aca="false">$G$1*G1171</f>
        <v>299184.769241545</v>
      </c>
      <c r="G1171" s="0" t="n">
        <f aca="false">TANH($E$1*B1171*86.4/$G$1)</f>
        <v>0.997282564138483</v>
      </c>
      <c r="H1171" s="0" t="n">
        <f aca="false">COSH($E$1*B1171*86.4/$G$1)</f>
        <v>13.5737733565891</v>
      </c>
      <c r="I1171" s="0" t="n">
        <f aca="false">(($G$1^2*1000)/($E$1*$I$1))*(H1171-1)</f>
        <v>12.1930194981175</v>
      </c>
      <c r="J1171" s="0" t="n">
        <f aca="false">$J$3*EXP(-$E$1*B1171*86.4/$G$1)</f>
        <v>36.8858584953035</v>
      </c>
      <c r="K1171" s="0" t="n">
        <f aca="false">J1170-J1171</f>
        <v>0.104360232309446</v>
      </c>
    </row>
    <row r="1172" customFormat="false" ht="12.8" hidden="false" customHeight="false" outlineLevel="0" collapsed="false">
      <c r="A1172" s="0" t="n">
        <v>1</v>
      </c>
      <c r="B1172" s="0" t="n">
        <f aca="false">B1171+A1172</f>
        <v>1169</v>
      </c>
      <c r="C1172" s="0" t="n">
        <f aca="false">$C$3+($G$1/($E$1*86.4))*SINH($E$1*B1172*86.4/$G$1)</f>
        <v>49408.9366033305</v>
      </c>
      <c r="D1172" s="0" t="n">
        <f aca="false">C1172-$C$3-B1172</f>
        <v>3635.93660333048</v>
      </c>
      <c r="E1172" s="0" t="n">
        <f aca="false">$E$1*B1172*86.4</f>
        <v>990825.696</v>
      </c>
      <c r="F1172" s="0" t="n">
        <f aca="false">$G$1*G1172</f>
        <v>299189.356555478</v>
      </c>
      <c r="G1172" s="0" t="n">
        <f aca="false">TANH($E$1*B1172*86.4/$G$1)</f>
        <v>0.997297855184928</v>
      </c>
      <c r="H1172" s="0" t="n">
        <f aca="false">COSH($E$1*B1172*86.4/$G$1)</f>
        <v>13.6120730793513</v>
      </c>
      <c r="I1172" s="0" t="n">
        <f aca="false">(($G$1^2*1000)/($E$1*$I$1))*(H1172-1)</f>
        <v>12.2301594443507</v>
      </c>
      <c r="J1172" s="0" t="n">
        <f aca="false">$J$3*EXP(-$E$1*B1172*86.4/$G$1)</f>
        <v>36.7817926937507</v>
      </c>
      <c r="K1172" s="0" t="n">
        <f aca="false">J1171-J1172</f>
        <v>0.104065801552828</v>
      </c>
    </row>
    <row r="1173" customFormat="false" ht="12.8" hidden="false" customHeight="false" outlineLevel="0" collapsed="false">
      <c r="A1173" s="0" t="n">
        <v>1</v>
      </c>
      <c r="B1173" s="0" t="n">
        <f aca="false">B1172+A1173</f>
        <v>1170</v>
      </c>
      <c r="C1173" s="0" t="n">
        <f aca="false">$C$3+($G$1/($E$1*86.4))*SINH($E$1*B1173*86.4/$G$1)</f>
        <v>49422.5678715311</v>
      </c>
      <c r="D1173" s="0" t="n">
        <f aca="false">C1173-$C$3-B1173</f>
        <v>3648.56787153114</v>
      </c>
      <c r="E1173" s="0" t="n">
        <f aca="false">$E$1*B1173*86.4</f>
        <v>991673.28</v>
      </c>
      <c r="F1173" s="0" t="n">
        <f aca="false">$G$1*G1173</f>
        <v>299193.918091264</v>
      </c>
      <c r="G1173" s="0" t="n">
        <f aca="false">TANH($E$1*B1173*86.4/$G$1)</f>
        <v>0.997313060304212</v>
      </c>
      <c r="H1173" s="0" t="n">
        <f aca="false">COSH($E$1*B1173*86.4/$G$1)</f>
        <v>13.6504814565718</v>
      </c>
      <c r="I1173" s="0" t="n">
        <f aca="false">(($G$1^2*1000)/($E$1*$I$1))*(H1173-1)</f>
        <v>12.2674047548123</v>
      </c>
      <c r="J1173" s="0" t="n">
        <f aca="false">$J$3*EXP(-$E$1*B1173*86.4/$G$1)</f>
        <v>36.6780204922792</v>
      </c>
      <c r="K1173" s="0" t="n">
        <f aca="false">J1172-J1173</f>
        <v>0.103772201471507</v>
      </c>
    </row>
    <row r="1174" customFormat="false" ht="12.8" hidden="false" customHeight="false" outlineLevel="0" collapsed="false">
      <c r="A1174" s="0" t="n">
        <v>1</v>
      </c>
      <c r="B1174" s="0" t="n">
        <f aca="false">B1173+A1174</f>
        <v>1171</v>
      </c>
      <c r="C1174" s="0" t="n">
        <f aca="false">$C$3+($G$1/($E$1*86.4))*SINH($E$1*B1174*86.4/$G$1)</f>
        <v>49436.237602564</v>
      </c>
      <c r="D1174" s="0" t="n">
        <f aca="false">C1174-$C$3-B1174</f>
        <v>3661.23760256395</v>
      </c>
      <c r="E1174" s="0" t="n">
        <f aca="false">$E$1*B1174*86.4</f>
        <v>992520.864</v>
      </c>
      <c r="F1174" s="0" t="n">
        <f aca="false">$G$1*G1174</f>
        <v>299198.45399337</v>
      </c>
      <c r="G1174" s="0" t="n">
        <f aca="false">TANH($E$1*B1174*86.4/$G$1)</f>
        <v>0.997328179977899</v>
      </c>
      <c r="H1174" s="0" t="n">
        <f aca="false">COSH($E$1*B1174*86.4/$G$1)</f>
        <v>13.6889987948344</v>
      </c>
      <c r="I1174" s="0" t="n">
        <f aca="false">(($G$1^2*1000)/($E$1*$I$1))*(H1174-1)</f>
        <v>12.3047557268024</v>
      </c>
      <c r="J1174" s="0" t="n">
        <f aca="false">$J$3*EXP(-$E$1*B1174*86.4/$G$1)</f>
        <v>36.5745410625572</v>
      </c>
      <c r="K1174" s="0" t="n">
        <f aca="false">J1173-J1174</f>
        <v>0.103479429721972</v>
      </c>
    </row>
    <row r="1175" customFormat="false" ht="12.8" hidden="false" customHeight="false" outlineLevel="0" collapsed="false">
      <c r="A1175" s="0" t="n">
        <v>1</v>
      </c>
      <c r="B1175" s="0" t="n">
        <f aca="false">B1174+A1175</f>
        <v>1172</v>
      </c>
      <c r="C1175" s="0" t="n">
        <f aca="false">$C$3+($G$1/($E$1*86.4))*SINH($E$1*B1175*86.4/$G$1)</f>
        <v>49449.9459055436</v>
      </c>
      <c r="D1175" s="0" t="n">
        <f aca="false">C1175-$C$3-B1175</f>
        <v>3673.94590554362</v>
      </c>
      <c r="E1175" s="0" t="n">
        <f aca="false">$E$1*B1175*86.4</f>
        <v>993368.448</v>
      </c>
      <c r="F1175" s="0" t="n">
        <f aca="false">$G$1*G1175</f>
        <v>299202.96440546</v>
      </c>
      <c r="G1175" s="0" t="n">
        <f aca="false">TANH($E$1*B1175*86.4/$G$1)</f>
        <v>0.997343214684868</v>
      </c>
      <c r="H1175" s="0" t="n">
        <f aca="false">COSH($E$1*B1175*86.4/$G$1)</f>
        <v>13.7276254015929</v>
      </c>
      <c r="I1175" s="0" t="n">
        <f aca="false">(($G$1^2*1000)/($E$1*$I$1))*(H1175-1)</f>
        <v>12.3422126584645</v>
      </c>
      <c r="J1175" s="0" t="n">
        <f aca="false">$J$3*EXP(-$E$1*B1175*86.4/$G$1)</f>
        <v>36.47135357859</v>
      </c>
      <c r="K1175" s="0" t="n">
        <f aca="false">J1174-J1175</f>
        <v>0.103187483967233</v>
      </c>
    </row>
    <row r="1176" customFormat="false" ht="12.8" hidden="false" customHeight="false" outlineLevel="0" collapsed="false">
      <c r="A1176" s="0" t="n">
        <v>1</v>
      </c>
      <c r="B1176" s="0" t="n">
        <f aca="false">B1175+A1176</f>
        <v>1173</v>
      </c>
      <c r="C1176" s="0" t="n">
        <f aca="false">$C$3+($G$1/($E$1*86.4))*SINH($E$1*B1176*86.4/$G$1)</f>
        <v>49463.6928898927</v>
      </c>
      <c r="D1176" s="0" t="n">
        <f aca="false">C1176-$C$3-B1176</f>
        <v>3686.69288989274</v>
      </c>
      <c r="E1176" s="0" t="n">
        <f aca="false">$E$1*B1176*86.4</f>
        <v>994216.032</v>
      </c>
      <c r="F1176" s="0" t="n">
        <f aca="false">$G$1*G1176</f>
        <v>299207.449470399</v>
      </c>
      <c r="G1176" s="0" t="n">
        <f aca="false">TANH($E$1*B1176*86.4/$G$1)</f>
        <v>0.997358164901328</v>
      </c>
      <c r="H1176" s="0" t="n">
        <f aca="false">COSH($E$1*B1176*86.4/$G$1)</f>
        <v>13.7663615851729</v>
      </c>
      <c r="I1176" s="0" t="n">
        <f aca="false">(($G$1^2*1000)/($E$1*$I$1))*(H1176-1)</f>
        <v>12.3797758487876</v>
      </c>
      <c r="J1176" s="0" t="n">
        <f aca="false">$J$3*EXP(-$E$1*B1176*86.4/$G$1)</f>
        <v>36.3684572167131</v>
      </c>
      <c r="K1176" s="0" t="n">
        <f aca="false">J1175-J1176</f>
        <v>0.10289636187688</v>
      </c>
    </row>
    <row r="1177" customFormat="false" ht="12.8" hidden="false" customHeight="false" outlineLevel="0" collapsed="false">
      <c r="A1177" s="0" t="n">
        <v>1</v>
      </c>
      <c r="B1177" s="0" t="n">
        <f aca="false">B1176+A1177</f>
        <v>1174</v>
      </c>
      <c r="C1177" s="0" t="n">
        <f aca="false">$C$3+($G$1/($E$1*86.4))*SINH($E$1*B1177*86.4/$G$1)</f>
        <v>49477.4786653426</v>
      </c>
      <c r="D1177" s="0" t="n">
        <f aca="false">C1177-$C$3-B1177</f>
        <v>3699.47866534263</v>
      </c>
      <c r="E1177" s="0" t="n">
        <f aca="false">$E$1*B1177*86.4</f>
        <v>995063.616</v>
      </c>
      <c r="F1177" s="0" t="n">
        <f aca="false">$G$1*G1177</f>
        <v>299211.909330251</v>
      </c>
      <c r="G1177" s="0" t="n">
        <f aca="false">TANH($E$1*B1177*86.4/$G$1)</f>
        <v>0.997373031100837</v>
      </c>
      <c r="H1177" s="0" t="n">
        <f aca="false">COSH($E$1*B1177*86.4/$G$1)</f>
        <v>13.8052076547748</v>
      </c>
      <c r="I1177" s="0" t="n">
        <f aca="false">(($G$1^2*1000)/($E$1*$I$1))*(H1177-1)</f>
        <v>12.4174455976092</v>
      </c>
      <c r="J1177" s="0" t="n">
        <f aca="false">$J$3*EXP(-$E$1*B1177*86.4/$G$1)</f>
        <v>36.2658511555859</v>
      </c>
      <c r="K1177" s="0" t="n">
        <f aca="false">J1176-J1177</f>
        <v>0.102606061127155</v>
      </c>
    </row>
    <row r="1178" customFormat="false" ht="12.8" hidden="false" customHeight="false" outlineLevel="0" collapsed="false">
      <c r="A1178" s="0" t="n">
        <v>1</v>
      </c>
      <c r="B1178" s="0" t="n">
        <f aca="false">B1177+A1178</f>
        <v>1175</v>
      </c>
      <c r="C1178" s="0" t="n">
        <f aca="false">$C$3+($G$1/($E$1*86.4))*SINH($E$1*B1178*86.4/$G$1)</f>
        <v>49491.3033419343</v>
      </c>
      <c r="D1178" s="0" t="n">
        <f aca="false">C1178-$C$3-B1178</f>
        <v>3712.30334193431</v>
      </c>
      <c r="E1178" s="0" t="n">
        <f aca="false">$E$1*B1178*86.4</f>
        <v>995911.2</v>
      </c>
      <c r="F1178" s="0" t="n">
        <f aca="false">$G$1*G1178</f>
        <v>299216.344126292</v>
      </c>
      <c r="G1178" s="0" t="n">
        <f aca="false">TANH($E$1*B1178*86.4/$G$1)</f>
        <v>0.997387813754307</v>
      </c>
      <c r="H1178" s="0" t="n">
        <f aca="false">COSH($E$1*B1178*86.4/$G$1)</f>
        <v>13.8441639204764</v>
      </c>
      <c r="I1178" s="0" t="n">
        <f aca="false">(($G$1^2*1000)/($E$1*$I$1))*(H1178-1)</f>
        <v>12.4552222056171</v>
      </c>
      <c r="J1178" s="0" t="n">
        <f aca="false">$J$3*EXP(-$E$1*B1178*86.4/$G$1)</f>
        <v>36.1635345761851</v>
      </c>
      <c r="K1178" s="0" t="n">
        <f aca="false">J1177-J1178</f>
        <v>0.102316579400792</v>
      </c>
    </row>
    <row r="1179" customFormat="false" ht="12.8" hidden="false" customHeight="false" outlineLevel="0" collapsed="false">
      <c r="A1179" s="0" t="n">
        <v>1</v>
      </c>
      <c r="B1179" s="0" t="n">
        <f aca="false">B1178+A1179</f>
        <v>1176</v>
      </c>
      <c r="C1179" s="0" t="n">
        <f aca="false">$C$3+($G$1/($E$1*86.4))*SINH($E$1*B1179*86.4/$G$1)</f>
        <v>49505.1670300193</v>
      </c>
      <c r="D1179" s="0" t="n">
        <f aca="false">C1179-$C$3-B1179</f>
        <v>3725.16703001926</v>
      </c>
      <c r="E1179" s="0" t="n">
        <f aca="false">$E$1*B1179*86.4</f>
        <v>996758.784</v>
      </c>
      <c r="F1179" s="0" t="n">
        <f aca="false">$G$1*G1179</f>
        <v>299220.753999009</v>
      </c>
      <c r="G1179" s="0" t="n">
        <f aca="false">TANH($E$1*B1179*86.4/$G$1)</f>
        <v>0.99740251333003</v>
      </c>
      <c r="H1179" s="0" t="n">
        <f aca="false">COSH($E$1*B1179*86.4/$G$1)</f>
        <v>13.8832306932346</v>
      </c>
      <c r="I1179" s="0" t="n">
        <f aca="false">(($G$1^2*1000)/($E$1*$I$1))*(H1179-1)</f>
        <v>12.4931059743523</v>
      </c>
      <c r="J1179" s="0" t="n">
        <f aca="false">$J$3*EXP(-$E$1*B1179*86.4/$G$1)</f>
        <v>36.061506661798</v>
      </c>
      <c r="K1179" s="0" t="n">
        <f aca="false">J1178-J1179</f>
        <v>0.102027914387122</v>
      </c>
    </row>
    <row r="1180" customFormat="false" ht="12.8" hidden="false" customHeight="false" outlineLevel="0" collapsed="false">
      <c r="A1180" s="0" t="n">
        <v>1</v>
      </c>
      <c r="B1180" s="0" t="n">
        <f aca="false">B1179+A1180</f>
        <v>1177</v>
      </c>
      <c r="C1180" s="0" t="n">
        <f aca="false">$C$3+($G$1/($E$1*86.4))*SINH($E$1*B1180*86.4/$G$1)</f>
        <v>49519.0698402604</v>
      </c>
      <c r="D1180" s="0" t="n">
        <f aca="false">C1180-$C$3-B1180</f>
        <v>3738.0698402604</v>
      </c>
      <c r="E1180" s="0" t="n">
        <f aca="false">$E$1*B1180*86.4</f>
        <v>997606.368</v>
      </c>
      <c r="F1180" s="0" t="n">
        <f aca="false">$G$1*G1180</f>
        <v>299225.139088105</v>
      </c>
      <c r="G1180" s="0" t="n">
        <f aca="false">TANH($E$1*B1180*86.4/$G$1)</f>
        <v>0.997417130293683</v>
      </c>
      <c r="H1180" s="0" t="n">
        <f aca="false">COSH($E$1*B1180*86.4/$G$1)</f>
        <v>13.9224082848889</v>
      </c>
      <c r="I1180" s="0" t="n">
        <f aca="false">(($G$1^2*1000)/($E$1*$I$1))*(H1180-1)</f>
        <v>12.5310972062111</v>
      </c>
      <c r="J1180" s="0" t="n">
        <f aca="false">$J$3*EXP(-$E$1*B1180*86.4/$G$1)</f>
        <v>35.9597665980161</v>
      </c>
      <c r="K1180" s="0" t="n">
        <f aca="false">J1179-J1180</f>
        <v>0.101740063781889</v>
      </c>
    </row>
    <row r="1181" customFormat="false" ht="12.8" hidden="false" customHeight="false" outlineLevel="0" collapsed="false">
      <c r="A1181" s="0" t="n">
        <v>1</v>
      </c>
      <c r="B1181" s="0" t="n">
        <f aca="false">B1180+A1181</f>
        <v>1178</v>
      </c>
      <c r="C1181" s="0" t="n">
        <f aca="false">$C$3+($G$1/($E$1*86.4))*SINH($E$1*B1181*86.4/$G$1)</f>
        <v>49533.0118836329</v>
      </c>
      <c r="D1181" s="0" t="n">
        <f aca="false">C1181-$C$3-B1181</f>
        <v>3751.01188363291</v>
      </c>
      <c r="E1181" s="0" t="n">
        <f aca="false">$E$1*B1181*86.4</f>
        <v>998453.952</v>
      </c>
      <c r="F1181" s="0" t="n">
        <f aca="false">$G$1*G1181</f>
        <v>299229.499532505</v>
      </c>
      <c r="G1181" s="0" t="n">
        <f aca="false">TANH($E$1*B1181*86.4/$G$1)</f>
        <v>0.997431665108349</v>
      </c>
      <c r="H1181" s="0" t="n">
        <f aca="false">COSH($E$1*B1181*86.4/$G$1)</f>
        <v>13.9616970081631</v>
      </c>
      <c r="I1181" s="0" t="n">
        <f aca="false">(($G$1^2*1000)/($E$1*$I$1))*(H1181-1)</f>
        <v>12.5691962044476</v>
      </c>
      <c r="J1181" s="0" t="n">
        <f aca="false">$J$3*EXP(-$E$1*B1181*86.4/$G$1)</f>
        <v>35.8583135727287</v>
      </c>
      <c r="K1181" s="0" t="n">
        <f aca="false">J1180-J1181</f>
        <v>0.101453025287469</v>
      </c>
    </row>
    <row r="1182" customFormat="false" ht="12.8" hidden="false" customHeight="false" outlineLevel="0" collapsed="false">
      <c r="A1182" s="0" t="n">
        <v>1</v>
      </c>
      <c r="B1182" s="0" t="n">
        <f aca="false">B1181+A1182</f>
        <v>1179</v>
      </c>
      <c r="C1182" s="0" t="n">
        <f aca="false">$C$3+($G$1/($E$1*86.4))*SINH($E$1*B1182*86.4/$G$1)</f>
        <v>49546.9932714251</v>
      </c>
      <c r="D1182" s="0" t="n">
        <f aca="false">C1182-$C$3-B1182</f>
        <v>3763.99327142513</v>
      </c>
      <c r="E1182" s="0" t="n">
        <f aca="false">$E$1*B1182*86.4</f>
        <v>999301.536</v>
      </c>
      <c r="F1182" s="0" t="n">
        <f aca="false">$G$1*G1182</f>
        <v>299233.835470358</v>
      </c>
      <c r="G1182" s="0" t="n">
        <f aca="false">TANH($E$1*B1182*86.4/$G$1)</f>
        <v>0.997446118234526</v>
      </c>
      <c r="H1182" s="0" t="n">
        <f aca="false">COSH($E$1*B1182*86.4/$G$1)</f>
        <v>14.0010971766681</v>
      </c>
      <c r="I1182" s="0" t="n">
        <f aca="false">(($G$1^2*1000)/($E$1*$I$1))*(H1182-1)</f>
        <v>12.607403273176</v>
      </c>
      <c r="J1182" s="0" t="n">
        <f aca="false">$J$3*EXP(-$E$1*B1182*86.4/$G$1)</f>
        <v>35.757146776116</v>
      </c>
      <c r="K1182" s="0" t="n">
        <f aca="false">J1181-J1182</f>
        <v>0.101166796612688</v>
      </c>
    </row>
    <row r="1183" customFormat="false" ht="12.8" hidden="false" customHeight="false" outlineLevel="0" collapsed="false">
      <c r="A1183" s="0" t="n">
        <v>1</v>
      </c>
      <c r="B1183" s="0" t="n">
        <f aca="false">B1182+A1183</f>
        <v>1180</v>
      </c>
      <c r="C1183" s="0" t="n">
        <f aca="false">$C$3+($G$1/($E$1*86.4))*SINH($E$1*B1183*86.4/$G$1)</f>
        <v>49561.0141152395</v>
      </c>
      <c r="D1183" s="0" t="n">
        <f aca="false">C1183-$C$3-B1183</f>
        <v>3777.01411523948</v>
      </c>
      <c r="E1183" s="0" t="n">
        <f aca="false">$E$1*B1183*86.4</f>
        <v>1000149.12</v>
      </c>
      <c r="F1183" s="0" t="n">
        <f aca="false">$G$1*G1183</f>
        <v>299238.147039044</v>
      </c>
      <c r="G1183" s="0" t="n">
        <f aca="false">TANH($E$1*B1183*86.4/$G$1)</f>
        <v>0.997460490130148</v>
      </c>
      <c r="H1183" s="0" t="n">
        <f aca="false">COSH($E$1*B1183*86.4/$G$1)</f>
        <v>14.0406091049044</v>
      </c>
      <c r="I1183" s="0" t="n">
        <f aca="false">(($G$1^2*1000)/($E$1*$I$1))*(H1183-1)</f>
        <v>12.6457187173733</v>
      </c>
      <c r="J1183" s="0" t="n">
        <f aca="false">$J$3*EXP(-$E$1*B1183*86.4/$G$1)</f>
        <v>35.6562654006433</v>
      </c>
      <c r="K1183" s="0" t="n">
        <f aca="false">J1182-J1183</f>
        <v>0.100881375472717</v>
      </c>
    </row>
    <row r="1184" customFormat="false" ht="12.8" hidden="false" customHeight="false" outlineLevel="0" collapsed="false">
      <c r="A1184" s="0" t="n">
        <v>1</v>
      </c>
      <c r="B1184" s="0" t="n">
        <f aca="false">B1183+A1184</f>
        <v>1181</v>
      </c>
      <c r="C1184" s="0" t="n">
        <f aca="false">$C$3+($G$1/($E$1*86.4))*SINH($E$1*B1184*86.4/$G$1)</f>
        <v>49575.0745269933</v>
      </c>
      <c r="D1184" s="0" t="n">
        <f aca="false">C1184-$C$3-B1184</f>
        <v>3790.0745269933</v>
      </c>
      <c r="E1184" s="0" t="n">
        <f aca="false">$E$1*B1184*86.4</f>
        <v>1000996.704</v>
      </c>
      <c r="F1184" s="0" t="n">
        <f aca="false">$G$1*G1184</f>
        <v>299242.434375177</v>
      </c>
      <c r="G1184" s="0" t="n">
        <f aca="false">TANH($E$1*B1184*86.4/$G$1)</f>
        <v>0.99747478125059</v>
      </c>
      <c r="H1184" s="0" t="n">
        <f aca="false">COSH($E$1*B1184*86.4/$G$1)</f>
        <v>14.0802331082647</v>
      </c>
      <c r="I1184" s="0" t="n">
        <f aca="false">(($G$1^2*1000)/($E$1*$I$1))*(H1184-1)</f>
        <v>12.6841428428815</v>
      </c>
      <c r="J1184" s="0" t="n">
        <f aca="false">$J$3*EXP(-$E$1*B1184*86.4/$G$1)</f>
        <v>35.5556686410539</v>
      </c>
      <c r="K1184" s="0" t="n">
        <f aca="false">J1183-J1184</f>
        <v>0.10059675958933</v>
      </c>
    </row>
    <row r="1185" customFormat="false" ht="12.8" hidden="false" customHeight="false" outlineLevel="0" collapsed="false">
      <c r="A1185" s="0" t="n">
        <v>1</v>
      </c>
      <c r="B1185" s="0" t="n">
        <f aca="false">B1184+A1185</f>
        <v>1182</v>
      </c>
      <c r="C1185" s="0" t="n">
        <f aca="false">$C$3+($G$1/($E$1*86.4))*SINH($E$1*B1185*86.4/$G$1)</f>
        <v>49589.1746189198</v>
      </c>
      <c r="D1185" s="0" t="n">
        <f aca="false">C1185-$C$3-B1185</f>
        <v>3803.1746189198</v>
      </c>
      <c r="E1185" s="0" t="n">
        <f aca="false">$E$1*B1185*86.4</f>
        <v>1001844.288</v>
      </c>
      <c r="F1185" s="0" t="n">
        <f aca="false">$G$1*G1185</f>
        <v>299246.697614607</v>
      </c>
      <c r="G1185" s="0" t="n">
        <f aca="false">TANH($E$1*B1185*86.4/$G$1)</f>
        <v>0.997488992048691</v>
      </c>
      <c r="H1185" s="0" t="n">
        <f aca="false">COSH($E$1*B1185*86.4/$G$1)</f>
        <v>14.1199695030361</v>
      </c>
      <c r="I1185" s="0" t="n">
        <f aca="false">(($G$1^2*1000)/($E$1*$I$1))*(H1185-1)</f>
        <v>12.7226759564101</v>
      </c>
      <c r="J1185" s="0" t="n">
        <f aca="false">$J$3*EXP(-$E$1*B1185*86.4/$G$1)</f>
        <v>35.4553556943633</v>
      </c>
      <c r="K1185" s="0" t="n">
        <f aca="false">J1184-J1185</f>
        <v>0.100312946690622</v>
      </c>
    </row>
    <row r="1186" customFormat="false" ht="12.8" hidden="false" customHeight="false" outlineLevel="0" collapsed="false">
      <c r="A1186" s="0" t="n">
        <v>1</v>
      </c>
      <c r="B1186" s="0" t="n">
        <f aca="false">B1185+A1186</f>
        <v>1183</v>
      </c>
      <c r="C1186" s="0" t="n">
        <f aca="false">$C$3+($G$1/($E$1*86.4))*SINH($E$1*B1186*86.4/$G$1)</f>
        <v>49603.3145035689</v>
      </c>
      <c r="D1186" s="0" t="n">
        <f aca="false">C1186-$C$3-B1186</f>
        <v>3816.31450356889</v>
      </c>
      <c r="E1186" s="0" t="n">
        <f aca="false">$E$1*B1186*86.4</f>
        <v>1002691.872</v>
      </c>
      <c r="F1186" s="0" t="n">
        <f aca="false">$G$1*G1186</f>
        <v>299250.936892429</v>
      </c>
      <c r="G1186" s="0" t="n">
        <f aca="false">TANH($E$1*B1186*86.4/$G$1)</f>
        <v>0.997503122974763</v>
      </c>
      <c r="H1186" s="0" t="n">
        <f aca="false">COSH($E$1*B1186*86.4/$G$1)</f>
        <v>14.159818606403</v>
      </c>
      <c r="I1186" s="0" t="n">
        <f aca="false">(($G$1^2*1000)/($E$1*$I$1))*(H1186-1)</f>
        <v>12.7613183655386</v>
      </c>
      <c r="J1186" s="0" t="n">
        <f aca="false">$J$3*EXP(-$E$1*B1186*86.4/$G$1)</f>
        <v>35.3553257598521</v>
      </c>
      <c r="K1186" s="0" t="n">
        <f aca="false">J1185-J1186</f>
        <v>0.100029934511198</v>
      </c>
    </row>
    <row r="1187" customFormat="false" ht="12.8" hidden="false" customHeight="false" outlineLevel="0" collapsed="false">
      <c r="A1187" s="0" t="n">
        <v>1</v>
      </c>
      <c r="B1187" s="0" t="n">
        <f aca="false">B1186+A1187</f>
        <v>1184</v>
      </c>
      <c r="C1187" s="0" t="n">
        <f aca="false">$C$3+($G$1/($E$1*86.4))*SINH($E$1*B1187*86.4/$G$1)</f>
        <v>49617.4942938082</v>
      </c>
      <c r="D1187" s="0" t="n">
        <f aca="false">C1187-$C$3-B1187</f>
        <v>3829.49429380815</v>
      </c>
      <c r="E1187" s="0" t="n">
        <f aca="false">$E$1*B1187*86.4</f>
        <v>1003539.456</v>
      </c>
      <c r="F1187" s="0" t="n">
        <f aca="false">$G$1*G1187</f>
        <v>299255.152342982</v>
      </c>
      <c r="G1187" s="0" t="n">
        <f aca="false">TANH($E$1*B1187*86.4/$G$1)</f>
        <v>0.997517174476606</v>
      </c>
      <c r="H1187" s="0" t="n">
        <f aca="false">COSH($E$1*B1187*86.4/$G$1)</f>
        <v>14.1997807364494</v>
      </c>
      <c r="I1187" s="0" t="n">
        <f aca="false">(($G$1^2*1000)/($E$1*$I$1))*(H1187-1)</f>
        <v>12.800070378719</v>
      </c>
      <c r="J1187" s="0" t="n">
        <f aca="false">$J$3*EXP(-$E$1*B1187*86.4/$G$1)</f>
        <v>35.2555780390602</v>
      </c>
      <c r="K1187" s="0" t="n">
        <f aca="false">J1186-J1187</f>
        <v>0.0997477207919104</v>
      </c>
    </row>
    <row r="1188" customFormat="false" ht="12.8" hidden="false" customHeight="false" outlineLevel="0" collapsed="false">
      <c r="A1188" s="0" t="n">
        <v>1</v>
      </c>
      <c r="B1188" s="0" t="n">
        <f aca="false">B1187+A1188</f>
        <v>1185</v>
      </c>
      <c r="C1188" s="0" t="n">
        <f aca="false">$C$3+($G$1/($E$1*86.4))*SINH($E$1*B1188*86.4/$G$1)</f>
        <v>49631.7141028237</v>
      </c>
      <c r="D1188" s="0" t="n">
        <f aca="false">C1188-$C$3-B1188</f>
        <v>3842.71410282367</v>
      </c>
      <c r="E1188" s="0" t="n">
        <f aca="false">$E$1*B1188*86.4</f>
        <v>1004387.04</v>
      </c>
      <c r="F1188" s="0" t="n">
        <f aca="false">$G$1*G1188</f>
        <v>299259.344099856</v>
      </c>
      <c r="G1188" s="0" t="n">
        <f aca="false">TANH($E$1*B1188*86.4/$G$1)</f>
        <v>0.997531146999521</v>
      </c>
      <c r="H1188" s="0" t="n">
        <f aca="false">COSH($E$1*B1188*86.4/$G$1)</f>
        <v>14.2398562121615</v>
      </c>
      <c r="I1188" s="0" t="n">
        <f aca="false">(($G$1^2*1000)/($E$1*$I$1))*(H1188-1)</f>
        <v>12.8389323052781</v>
      </c>
      <c r="J1188" s="0" t="n">
        <f aca="false">$J$3*EXP(-$E$1*B1188*86.4/$G$1)</f>
        <v>35.15611173578</v>
      </c>
      <c r="K1188" s="0" t="n">
        <f aca="false">J1187-J1188</f>
        <v>0.0994663032801597</v>
      </c>
    </row>
    <row r="1189" customFormat="false" ht="12.8" hidden="false" customHeight="false" outlineLevel="0" collapsed="false">
      <c r="A1189" s="0" t="n">
        <v>1</v>
      </c>
      <c r="B1189" s="0" t="n">
        <f aca="false">B1188+A1189</f>
        <v>1186</v>
      </c>
      <c r="C1189" s="0" t="n">
        <f aca="false">$C$3+($G$1/($E$1*86.4))*SINH($E$1*B1189*86.4/$G$1)</f>
        <v>49645.974044121</v>
      </c>
      <c r="D1189" s="0" t="n">
        <f aca="false">C1189-$C$3-B1189</f>
        <v>3855.97404412099</v>
      </c>
      <c r="E1189" s="0" t="n">
        <f aca="false">$E$1*B1189*86.4</f>
        <v>1005234.624</v>
      </c>
      <c r="F1189" s="0" t="n">
        <f aca="false">$G$1*G1189</f>
        <v>299263.512295898</v>
      </c>
      <c r="G1189" s="0" t="n">
        <f aca="false">TANH($E$1*B1189*86.4/$G$1)</f>
        <v>0.997545040986328</v>
      </c>
      <c r="H1189" s="0" t="n">
        <f aca="false">COSH($E$1*B1189*86.4/$G$1)</f>
        <v>14.2800453534302</v>
      </c>
      <c r="I1189" s="0" t="n">
        <f aca="false">(($G$1^2*1000)/($E$1*$I$1))*(H1189-1)</f>
        <v>12.8779044554199</v>
      </c>
      <c r="J1189" s="0" t="n">
        <f aca="false">$J$3*EXP(-$E$1*B1189*86.4/$G$1)</f>
        <v>35.0569260560505</v>
      </c>
      <c r="K1189" s="0" t="n">
        <f aca="false">J1188-J1189</f>
        <v>0.0991856797295299</v>
      </c>
    </row>
    <row r="1190" customFormat="false" ht="12.8" hidden="false" customHeight="false" outlineLevel="0" collapsed="false">
      <c r="A1190" s="0" t="n">
        <v>1</v>
      </c>
      <c r="B1190" s="0" t="n">
        <f aca="false">B1189+A1190</f>
        <v>1187</v>
      </c>
      <c r="C1190" s="0" t="n">
        <f aca="false">$C$3+($G$1/($E$1*86.4))*SINH($E$1*B1190*86.4/$G$1)</f>
        <v>49660.274231526</v>
      </c>
      <c r="D1190" s="0" t="n">
        <f aca="false">C1190-$C$3-B1190</f>
        <v>3869.27423152597</v>
      </c>
      <c r="E1190" s="0" t="n">
        <f aca="false">$E$1*B1190*86.4</f>
        <v>1006082.208</v>
      </c>
      <c r="F1190" s="0" t="n">
        <f aca="false">$G$1*G1190</f>
        <v>299267.657063212</v>
      </c>
      <c r="G1190" s="0" t="n">
        <f aca="false">TANH($E$1*B1190*86.4/$G$1)</f>
        <v>0.997558856877373</v>
      </c>
      <c r="H1190" s="0" t="n">
        <f aca="false">COSH($E$1*B1190*86.4/$G$1)</f>
        <v>14.3203484810539</v>
      </c>
      <c r="I1190" s="0" t="n">
        <f aca="false">(($G$1^2*1000)/($E$1*$I$1))*(H1190-1)</f>
        <v>12.9169871402285</v>
      </c>
      <c r="J1190" s="0" t="n">
        <f aca="false">$J$3*EXP(-$E$1*B1190*86.4/$G$1)</f>
        <v>34.9580202081504</v>
      </c>
      <c r="K1190" s="0" t="n">
        <f aca="false">J1189-J1190</f>
        <v>0.098905847900113</v>
      </c>
    </row>
    <row r="1191" customFormat="false" ht="12.8" hidden="false" customHeight="false" outlineLevel="0" collapsed="false">
      <c r="A1191" s="0" t="n">
        <v>1</v>
      </c>
      <c r="B1191" s="0" t="n">
        <f aca="false">B1190+A1191</f>
        <v>1188</v>
      </c>
      <c r="C1191" s="0" t="n">
        <f aca="false">$C$3+($G$1/($E$1*86.4))*SINH($E$1*B1191*86.4/$G$1)</f>
        <v>49674.6147791858</v>
      </c>
      <c r="D1191" s="0" t="n">
        <f aca="false">C1191-$C$3-B1191</f>
        <v>3882.61477918577</v>
      </c>
      <c r="E1191" s="0" t="n">
        <f aca="false">$E$1*B1191*86.4</f>
        <v>1006929.792</v>
      </c>
      <c r="F1191" s="0" t="n">
        <f aca="false">$G$1*G1191</f>
        <v>299271.778533164</v>
      </c>
      <c r="G1191" s="0" t="n">
        <f aca="false">TANH($E$1*B1191*86.4/$G$1)</f>
        <v>0.997572595110547</v>
      </c>
      <c r="H1191" s="0" t="n">
        <f aca="false">COSH($E$1*B1191*86.4/$G$1)</f>
        <v>14.3607659167406</v>
      </c>
      <c r="I1191" s="0" t="n">
        <f aca="false">(($G$1^2*1000)/($E$1*$I$1))*(H1191-1)</f>
        <v>12.9561806716702</v>
      </c>
      <c r="J1191" s="0" t="n">
        <f aca="false">$J$3*EXP(-$E$1*B1191*86.4/$G$1)</f>
        <v>34.8593934025923</v>
      </c>
      <c r="K1191" s="0" t="n">
        <f aca="false">J1190-J1191</f>
        <v>0.0986268055581121</v>
      </c>
    </row>
    <row r="1192" customFormat="false" ht="12.8" hidden="false" customHeight="false" outlineLevel="0" collapsed="false">
      <c r="A1192" s="0" t="n">
        <v>1</v>
      </c>
      <c r="B1192" s="0" t="n">
        <f aca="false">B1191+A1192</f>
        <v>1189</v>
      </c>
      <c r="C1192" s="0" t="n">
        <f aca="false">$C$3+($G$1/($E$1*86.4))*SINH($E$1*B1192*86.4/$G$1)</f>
        <v>49688.9958015697</v>
      </c>
      <c r="D1192" s="0" t="n">
        <f aca="false">C1192-$C$3-B1192</f>
        <v>3895.99580156968</v>
      </c>
      <c r="E1192" s="0" t="n">
        <f aca="false">$E$1*B1192*86.4</f>
        <v>1007777.376</v>
      </c>
      <c r="F1192" s="0" t="n">
        <f aca="false">$G$1*G1192</f>
        <v>299275.876836389</v>
      </c>
      <c r="G1192" s="0" t="n">
        <f aca="false">TANH($E$1*B1192*86.4/$G$1)</f>
        <v>0.997586256121297</v>
      </c>
      <c r="H1192" s="0" t="n">
        <f aca="false">COSH($E$1*B1192*86.4/$G$1)</f>
        <v>14.4012979831109</v>
      </c>
      <c r="I1192" s="0" t="n">
        <f aca="false">(($G$1^2*1000)/($E$1*$I$1))*(H1192-1)</f>
        <v>12.995485362596</v>
      </c>
      <c r="J1192" s="0" t="n">
        <f aca="false">$J$3*EXP(-$E$1*B1192*86.4/$G$1)</f>
        <v>34.761044852116</v>
      </c>
      <c r="K1192" s="0" t="n">
        <f aca="false">J1191-J1192</f>
        <v>0.0983485504762527</v>
      </c>
    </row>
    <row r="1193" customFormat="false" ht="12.8" hidden="false" customHeight="false" outlineLevel="0" collapsed="false">
      <c r="A1193" s="0" t="n">
        <v>1</v>
      </c>
      <c r="B1193" s="0" t="n">
        <f aca="false">B1192+A1193</f>
        <v>1190</v>
      </c>
      <c r="C1193" s="0" t="n">
        <f aca="false">$C$3+($G$1/($E$1*86.4))*SINH($E$1*B1193*86.4/$G$1)</f>
        <v>49703.4174134701</v>
      </c>
      <c r="D1193" s="0" t="n">
        <f aca="false">C1193-$C$3-B1193</f>
        <v>3909.41741347006</v>
      </c>
      <c r="E1193" s="0" t="n">
        <f aca="false">$E$1*B1193*86.4</f>
        <v>1008624.96</v>
      </c>
      <c r="F1193" s="0" t="n">
        <f aca="false">$G$1*G1193</f>
        <v>299279.952102792</v>
      </c>
      <c r="G1193" s="0" t="n">
        <f aca="false">TANH($E$1*B1193*86.4/$G$1)</f>
        <v>0.997599840342641</v>
      </c>
      <c r="H1193" s="0" t="n">
        <f aca="false">COSH($E$1*B1193*86.4/$G$1)</f>
        <v>14.4419450037004</v>
      </c>
      <c r="I1193" s="0" t="n">
        <f aca="false">(($G$1^2*1000)/($E$1*$I$1))*(H1193-1)</f>
        <v>13.0349015267444</v>
      </c>
      <c r="J1193" s="0" t="n">
        <f aca="false">$J$3*EXP(-$E$1*B1193*86.4/$G$1)</f>
        <v>34.6629737716826</v>
      </c>
      <c r="K1193" s="0" t="n">
        <f aca="false">J1192-J1193</f>
        <v>0.0980710804334493</v>
      </c>
    </row>
    <row r="1194" customFormat="false" ht="12.8" hidden="false" customHeight="false" outlineLevel="0" collapsed="false">
      <c r="A1194" s="0" t="n">
        <v>1</v>
      </c>
      <c r="B1194" s="0" t="n">
        <f aca="false">B1193+A1194</f>
        <v>1191</v>
      </c>
      <c r="C1194" s="0" t="n">
        <f aca="false">$C$3+($G$1/($E$1*86.4))*SINH($E$1*B1194*86.4/$G$1)</f>
        <v>49717.8797300033</v>
      </c>
      <c r="D1194" s="0" t="n">
        <f aca="false">C1194-$C$3-B1194</f>
        <v>3922.87973000329</v>
      </c>
      <c r="E1194" s="0" t="n">
        <f aca="false">$E$1*B1194*86.4</f>
        <v>1009472.544</v>
      </c>
      <c r="F1194" s="0" t="n">
        <f aca="false">$G$1*G1194</f>
        <v>299284.004461554</v>
      </c>
      <c r="G1194" s="0" t="n">
        <f aca="false">TANH($E$1*B1194*86.4/$G$1)</f>
        <v>0.99761334820518</v>
      </c>
      <c r="H1194" s="0" t="n">
        <f aca="false">COSH($E$1*B1194*86.4/$G$1)</f>
        <v>14.4827073029622</v>
      </c>
      <c r="I1194" s="0" t="n">
        <f aca="false">(($G$1^2*1000)/($E$1*$I$1))*(H1194-1)</f>
        <v>13.0744294787435</v>
      </c>
      <c r="J1194" s="0" t="n">
        <f aca="false">$J$3*EXP(-$E$1*B1194*86.4/$G$1)</f>
        <v>34.5651793784678</v>
      </c>
      <c r="K1194" s="0" t="n">
        <f aca="false">J1193-J1194</f>
        <v>0.0977943932147625</v>
      </c>
    </row>
    <row r="1195" customFormat="false" ht="12.8" hidden="false" customHeight="false" outlineLevel="0" collapsed="false">
      <c r="A1195" s="0" t="n">
        <v>1</v>
      </c>
      <c r="B1195" s="0" t="n">
        <f aca="false">B1194+A1195</f>
        <v>1192</v>
      </c>
      <c r="C1195" s="0" t="n">
        <f aca="false">$C$3+($G$1/($E$1*86.4))*SINH($E$1*B1195*86.4/$G$1)</f>
        <v>49732.3828666107</v>
      </c>
      <c r="D1195" s="0" t="n">
        <f aca="false">C1195-$C$3-B1195</f>
        <v>3936.38286661066</v>
      </c>
      <c r="E1195" s="0" t="n">
        <f aca="false">$E$1*B1195*86.4</f>
        <v>1010320.128</v>
      </c>
      <c r="F1195" s="0" t="n">
        <f aca="false">$G$1*G1195</f>
        <v>299288.034041134</v>
      </c>
      <c r="G1195" s="0" t="n">
        <f aca="false">TANH($E$1*B1195*86.4/$G$1)</f>
        <v>0.997626780137113</v>
      </c>
      <c r="H1195" s="0" t="n">
        <f aca="false">COSH($E$1*B1195*86.4/$G$1)</f>
        <v>14.5235852062696</v>
      </c>
      <c r="I1195" s="0" t="n">
        <f aca="false">(($G$1^2*1000)/($E$1*$I$1))*(H1195-1)</f>
        <v>13.1140695341139</v>
      </c>
      <c r="J1195" s="0" t="n">
        <f aca="false">$J$3*EXP(-$E$1*B1195*86.4/$G$1)</f>
        <v>34.4676608918561</v>
      </c>
      <c r="K1195" s="0" t="n">
        <f aca="false">J1194-J1195</f>
        <v>0.0975184866117616</v>
      </c>
    </row>
    <row r="1196" customFormat="false" ht="12.8" hidden="false" customHeight="false" outlineLevel="0" collapsed="false">
      <c r="A1196" s="0" t="n">
        <v>1</v>
      </c>
      <c r="B1196" s="0" t="n">
        <f aca="false">B1195+A1196</f>
        <v>1193</v>
      </c>
      <c r="C1196" s="0" t="n">
        <f aca="false">$C$3+($G$1/($E$1*86.4))*SINH($E$1*B1196*86.4/$G$1)</f>
        <v>49746.9269390593</v>
      </c>
      <c r="D1196" s="0" t="n">
        <f aca="false">C1196-$C$3-B1196</f>
        <v>3949.92693905927</v>
      </c>
      <c r="E1196" s="0" t="n">
        <f aca="false">$E$1*B1196*86.4</f>
        <v>1011167.712</v>
      </c>
      <c r="F1196" s="0" t="n">
        <f aca="false">$G$1*G1196</f>
        <v>299292.040969274</v>
      </c>
      <c r="G1196" s="0" t="n">
        <f aca="false">TANH($E$1*B1196*86.4/$G$1)</f>
        <v>0.997640136564247</v>
      </c>
      <c r="H1196" s="0" t="n">
        <f aca="false">COSH($E$1*B1196*86.4/$G$1)</f>
        <v>14.5645790399188</v>
      </c>
      <c r="I1196" s="0" t="n">
        <f aca="false">(($G$1^2*1000)/($E$1*$I$1))*(H1196-1)</f>
        <v>13.1538220092709</v>
      </c>
      <c r="J1196" s="0" t="n">
        <f aca="false">$J$3*EXP(-$E$1*B1196*86.4/$G$1)</f>
        <v>34.3704175334341</v>
      </c>
      <c r="K1196" s="0" t="n">
        <f aca="false">J1195-J1196</f>
        <v>0.0972433584219843</v>
      </c>
    </row>
    <row r="1197" customFormat="false" ht="12.8" hidden="false" customHeight="false" outlineLevel="0" collapsed="false">
      <c r="A1197" s="0" t="n">
        <v>1</v>
      </c>
      <c r="B1197" s="0" t="n">
        <f aca="false">B1196+A1197</f>
        <v>1194</v>
      </c>
      <c r="C1197" s="0" t="n">
        <f aca="false">$C$3+($G$1/($E$1*86.4))*SINH($E$1*B1197*86.4/$G$1)</f>
        <v>49761.512063443</v>
      </c>
      <c r="D1197" s="0" t="n">
        <f aca="false">C1197-$C$3-B1197</f>
        <v>3963.51206344301</v>
      </c>
      <c r="E1197" s="0" t="n">
        <f aca="false">$E$1*B1197*86.4</f>
        <v>1012015.296</v>
      </c>
      <c r="F1197" s="0" t="n">
        <f aca="false">$G$1*G1197</f>
        <v>299296.025373005</v>
      </c>
      <c r="G1197" s="0" t="n">
        <f aca="false">TANH($E$1*B1197*86.4/$G$1)</f>
        <v>0.997653417910016</v>
      </c>
      <c r="H1197" s="0" t="n">
        <f aca="false">COSH($E$1*B1197*86.4/$G$1)</f>
        <v>14.6056891311312</v>
      </c>
      <c r="I1197" s="0" t="n">
        <f aca="false">(($G$1^2*1000)/($E$1*$I$1))*(H1197-1)</f>
        <v>13.1936872215272</v>
      </c>
      <c r="J1197" s="0" t="n">
        <f aca="false">$J$3*EXP(-$E$1*B1197*86.4/$G$1)</f>
        <v>34.2734485269847</v>
      </c>
      <c r="K1197" s="0" t="n">
        <f aca="false">J1196-J1197</f>
        <v>0.0969690064493918</v>
      </c>
    </row>
    <row r="1198" customFormat="false" ht="12.8" hidden="false" customHeight="false" outlineLevel="0" collapsed="false">
      <c r="A1198" s="0" t="n">
        <v>1</v>
      </c>
      <c r="B1198" s="0" t="n">
        <f aca="false">B1197+A1198</f>
        <v>1195</v>
      </c>
      <c r="C1198" s="0" t="n">
        <f aca="false">$C$3+($G$1/($E$1*86.4))*SINH($E$1*B1198*86.4/$G$1)</f>
        <v>49776.1383561834</v>
      </c>
      <c r="D1198" s="0" t="n">
        <f aca="false">C1198-$C$3-B1198</f>
        <v>3977.13835618342</v>
      </c>
      <c r="E1198" s="0" t="n">
        <f aca="false">$E$1*B1198*86.4</f>
        <v>1012862.88</v>
      </c>
      <c r="F1198" s="0" t="n">
        <f aca="false">$G$1*G1198</f>
        <v>299299.987378646</v>
      </c>
      <c r="G1198" s="0" t="n">
        <f aca="false">TANH($E$1*B1198*86.4/$G$1)</f>
        <v>0.997666624595488</v>
      </c>
      <c r="H1198" s="0" t="n">
        <f aca="false">COSH($E$1*B1198*86.4/$G$1)</f>
        <v>14.6469158080564</v>
      </c>
      <c r="I1198" s="0" t="n">
        <f aca="false">(($G$1^2*1000)/($E$1*$I$1))*(H1198-1)</f>
        <v>13.2336654890953</v>
      </c>
      <c r="J1198" s="0" t="n">
        <f aca="false">$J$3*EXP(-$E$1*B1198*86.4/$G$1)</f>
        <v>34.1767530984807</v>
      </c>
      <c r="K1198" s="0" t="n">
        <f aca="false">J1197-J1198</f>
        <v>0.0966954285039492</v>
      </c>
    </row>
    <row r="1199" customFormat="false" ht="12.8" hidden="false" customHeight="false" outlineLevel="0" collapsed="false">
      <c r="A1199" s="0" t="n">
        <v>1</v>
      </c>
      <c r="B1199" s="0" t="n">
        <f aca="false">B1198+A1199</f>
        <v>1196</v>
      </c>
      <c r="C1199" s="0" t="n">
        <f aca="false">$C$3+($G$1/($E$1*86.4))*SINH($E$1*B1199*86.4/$G$1)</f>
        <v>49790.8059340307</v>
      </c>
      <c r="D1199" s="0" t="n">
        <f aca="false">C1199-$C$3-B1199</f>
        <v>3990.8059340307</v>
      </c>
      <c r="E1199" s="0" t="n">
        <f aca="false">$E$1*B1199*86.4</f>
        <v>1013710.464</v>
      </c>
      <c r="F1199" s="0" t="n">
        <f aca="false">$G$1*G1199</f>
        <v>299303.927111814</v>
      </c>
      <c r="G1199" s="0" t="n">
        <f aca="false">TANH($E$1*B1199*86.4/$G$1)</f>
        <v>0.997679757039381</v>
      </c>
      <c r="H1199" s="0" t="n">
        <f aca="false">COSH($E$1*B1199*86.4/$G$1)</f>
        <v>14.6882593997743</v>
      </c>
      <c r="I1199" s="0" t="n">
        <f aca="false">(($G$1^2*1000)/($E$1*$I$1))*(H1199-1)</f>
        <v>13.2737571310904</v>
      </c>
      <c r="J1199" s="0" t="n">
        <f aca="false">$J$3*EXP(-$E$1*B1199*86.4/$G$1)</f>
        <v>34.0803304760787</v>
      </c>
      <c r="K1199" s="0" t="n">
        <f aca="false">J1198-J1199</f>
        <v>0.0964226224019882</v>
      </c>
    </row>
    <row r="1200" customFormat="false" ht="12.8" hidden="false" customHeight="false" outlineLevel="0" collapsed="false">
      <c r="A1200" s="0" t="n">
        <v>1</v>
      </c>
      <c r="B1200" s="0" t="n">
        <f aca="false">B1199+A1200</f>
        <v>1197</v>
      </c>
      <c r="C1200" s="0" t="n">
        <f aca="false">$C$3+($G$1/($E$1*86.4))*SINH($E$1*B1200*86.4/$G$1)</f>
        <v>49805.5149140646</v>
      </c>
      <c r="D1200" s="0" t="n">
        <f aca="false">C1200-$C$3-B1200</f>
        <v>4004.51491406457</v>
      </c>
      <c r="E1200" s="0" t="n">
        <f aca="false">$E$1*B1200*86.4</f>
        <v>1014558.048</v>
      </c>
      <c r="F1200" s="0" t="n">
        <f aca="false">$G$1*G1200</f>
        <v>299307.844697423</v>
      </c>
      <c r="G1200" s="0" t="n">
        <f aca="false">TANH($E$1*B1200*86.4/$G$1)</f>
        <v>0.997692815658076</v>
      </c>
      <c r="H1200" s="0" t="n">
        <f aca="false">COSH($E$1*B1200*86.4/$G$1)</f>
        <v>14.7297202362984</v>
      </c>
      <c r="I1200" s="0" t="n">
        <f aca="false">(($G$1^2*1000)/($E$1*$I$1))*(H1200-1)</f>
        <v>13.3139624675323</v>
      </c>
      <c r="J1200" s="0" t="n">
        <f aca="false">$J$3*EXP(-$E$1*B1200*86.4/$G$1)</f>
        <v>33.9841798901129</v>
      </c>
      <c r="K1200" s="0" t="n">
        <f aca="false">J1199-J1200</f>
        <v>0.0961505859658871</v>
      </c>
    </row>
    <row r="1201" customFormat="false" ht="12.8" hidden="false" customHeight="false" outlineLevel="0" collapsed="false">
      <c r="A1201" s="0" t="n">
        <v>1</v>
      </c>
      <c r="B1201" s="0" t="n">
        <f aca="false">B1200+A1201</f>
        <v>1198</v>
      </c>
      <c r="C1201" s="0" t="n">
        <f aca="false">$C$3+($G$1/($E$1*86.4))*SINH($E$1*B1201*86.4/$G$1)</f>
        <v>49820.2654136952</v>
      </c>
      <c r="D1201" s="0" t="n">
        <f aca="false">C1201-$C$3-B1201</f>
        <v>4018.2654136952</v>
      </c>
      <c r="E1201" s="0" t="n">
        <f aca="false">$E$1*B1201*86.4</f>
        <v>1015405.632</v>
      </c>
      <c r="F1201" s="0" t="n">
        <f aca="false">$G$1*G1201</f>
        <v>299311.740259689</v>
      </c>
      <c r="G1201" s="0" t="n">
        <f aca="false">TANH($E$1*B1201*86.4/$G$1)</f>
        <v>0.99770580086563</v>
      </c>
      <c r="H1201" s="0" t="n">
        <f aca="false">COSH($E$1*B1201*86.4/$G$1)</f>
        <v>14.7712986485779</v>
      </c>
      <c r="I1201" s="0" t="n">
        <f aca="false">(($G$1^2*1000)/($E$1*$I$1))*(H1201-1)</f>
        <v>13.3542818193487</v>
      </c>
      <c r="J1201" s="0" t="n">
        <f aca="false">$J$3*EXP(-$E$1*B1201*86.4/$G$1)</f>
        <v>33.8883005730887</v>
      </c>
      <c r="K1201" s="0" t="n">
        <f aca="false">J1200-J1201</f>
        <v>0.0958793170241492</v>
      </c>
    </row>
    <row r="1202" customFormat="false" ht="12.8" hidden="false" customHeight="false" outlineLevel="0" collapsed="false">
      <c r="A1202" s="0" t="n">
        <v>1</v>
      </c>
      <c r="B1202" s="0" t="n">
        <f aca="false">B1201+A1202</f>
        <v>1199</v>
      </c>
      <c r="C1202" s="0" t="n">
        <f aca="false">$C$3+($G$1/($E$1*86.4))*SINH($E$1*B1202*86.4/$G$1)</f>
        <v>49835.0575506643</v>
      </c>
      <c r="D1202" s="0" t="n">
        <f aca="false">C1202-$C$3-B1202</f>
        <v>4032.05755066426</v>
      </c>
      <c r="E1202" s="0" t="n">
        <f aca="false">$E$1*B1202*86.4</f>
        <v>1016253.216</v>
      </c>
      <c r="F1202" s="0" t="n">
        <f aca="false">$G$1*G1202</f>
        <v>299315.613922137</v>
      </c>
      <c r="G1202" s="0" t="n">
        <f aca="false">TANH($E$1*B1202*86.4/$G$1)</f>
        <v>0.997718713073789</v>
      </c>
      <c r="H1202" s="0" t="n">
        <f aca="false">COSH($E$1*B1202*86.4/$G$1)</f>
        <v>14.8129949685004</v>
      </c>
      <c r="I1202" s="0" t="n">
        <f aca="false">(($G$1^2*1000)/($E$1*$I$1))*(H1202-1)</f>
        <v>13.3947155083772</v>
      </c>
      <c r="J1202" s="0" t="n">
        <f aca="false">$J$3*EXP(-$E$1*B1202*86.4/$G$1)</f>
        <v>33.7926917596772</v>
      </c>
      <c r="K1202" s="0" t="n">
        <f aca="false">J1201-J1202</f>
        <v>0.0956088134115305</v>
      </c>
    </row>
    <row r="1203" customFormat="false" ht="12.8" hidden="false" customHeight="false" outlineLevel="0" collapsed="false">
      <c r="A1203" s="0" t="n">
        <v>1</v>
      </c>
      <c r="B1203" s="0" t="n">
        <f aca="false">B1202+A1203</f>
        <v>1200</v>
      </c>
      <c r="C1203" s="0" t="n">
        <f aca="false">$C$3+($G$1/($E$1*86.4))*SINH($E$1*B1203*86.4/$G$1)</f>
        <v>49849.8914430457</v>
      </c>
      <c r="D1203" s="0" t="n">
        <f aca="false">C1203-$C$3-B1203</f>
        <v>4045.89144304569</v>
      </c>
      <c r="E1203" s="0" t="n">
        <f aca="false">$E$1*B1203*86.4</f>
        <v>1017100.8</v>
      </c>
      <c r="F1203" s="0" t="n">
        <f aca="false">$G$1*G1203</f>
        <v>299319.465807599</v>
      </c>
      <c r="G1203" s="0" t="n">
        <f aca="false">TANH($E$1*B1203*86.4/$G$1)</f>
        <v>0.997731552691998</v>
      </c>
      <c r="H1203" s="0" t="n">
        <f aca="false">COSH($E$1*B1203*86.4/$G$1)</f>
        <v>14.8548095288948</v>
      </c>
      <c r="I1203" s="0" t="n">
        <f aca="false">(($G$1^2*1000)/($E$1*$I$1))*(H1203-1)</f>
        <v>13.435263857368</v>
      </c>
      <c r="J1203" s="0" t="n">
        <f aca="false">$J$3*EXP(-$E$1*B1203*86.4/$G$1)</f>
        <v>33.6973526867085</v>
      </c>
      <c r="K1203" s="0" t="n">
        <f aca="false">J1202-J1203</f>
        <v>0.09533907296872</v>
      </c>
    </row>
    <row r="1204" customFormat="false" ht="12.8" hidden="false" customHeight="false" outlineLevel="0" collapsed="false">
      <c r="A1204" s="0" t="n">
        <v>1</v>
      </c>
      <c r="B1204" s="0" t="n">
        <f aca="false">B1203+A1204</f>
        <v>1201</v>
      </c>
      <c r="C1204" s="0" t="n">
        <f aca="false">$C$3+($G$1/($E$1*86.4))*SINH($E$1*B1204*86.4/$G$1)</f>
        <v>49864.7672092468</v>
      </c>
      <c r="D1204" s="0" t="n">
        <f aca="false">C1204-$C$3-B1204</f>
        <v>4059.76720924678</v>
      </c>
      <c r="E1204" s="0" t="n">
        <f aca="false">$E$1*B1204*86.4</f>
        <v>1017948.384</v>
      </c>
      <c r="F1204" s="0" t="n">
        <f aca="false">$G$1*G1204</f>
        <v>299323.296038225</v>
      </c>
      <c r="G1204" s="0" t="n">
        <f aca="false">TANH($E$1*B1204*86.4/$G$1)</f>
        <v>0.997744320127418</v>
      </c>
      <c r="H1204" s="0" t="n">
        <f aca="false">COSH($E$1*B1204*86.4/$G$1)</f>
        <v>14.8967426635339</v>
      </c>
      <c r="I1204" s="0" t="n">
        <f aca="false">(($G$1^2*1000)/($E$1*$I$1))*(H1204-1)</f>
        <v>13.4759271899868</v>
      </c>
      <c r="J1204" s="0" t="n">
        <f aca="false">$J$3*EXP(-$E$1*B1204*86.4/$G$1)</f>
        <v>33.6022825931658</v>
      </c>
      <c r="K1204" s="0" t="n">
        <f aca="false">J1203-J1204</f>
        <v>0.0950700935426951</v>
      </c>
    </row>
    <row r="1205" customFormat="false" ht="12.8" hidden="false" customHeight="false" outlineLevel="0" collapsed="false">
      <c r="A1205" s="0" t="n">
        <v>1</v>
      </c>
      <c r="B1205" s="0" t="n">
        <f aca="false">B1204+A1205</f>
        <v>1202</v>
      </c>
      <c r="C1205" s="0" t="n">
        <f aca="false">$C$3+($G$1/($E$1*86.4))*SINH($E$1*B1205*86.4/$G$1)</f>
        <v>49879.6849680091</v>
      </c>
      <c r="D1205" s="0" t="n">
        <f aca="false">C1205-$C$3-B1205</f>
        <v>4073.68496800907</v>
      </c>
      <c r="E1205" s="0" t="n">
        <f aca="false">$E$1*B1205*86.4</f>
        <v>1018795.968</v>
      </c>
      <c r="F1205" s="0" t="n">
        <f aca="false">$G$1*G1205</f>
        <v>299327.104735481</v>
      </c>
      <c r="G1205" s="0" t="n">
        <f aca="false">TANH($E$1*B1205*86.4/$G$1)</f>
        <v>0.997757015784937</v>
      </c>
      <c r="H1205" s="0" t="n">
        <f aca="false">COSH($E$1*B1205*86.4/$G$1)</f>
        <v>14.9387947071368</v>
      </c>
      <c r="I1205" s="0" t="n">
        <f aca="false">(($G$1^2*1000)/($E$1*$I$1))*(H1205-1)</f>
        <v>13.5167058308168</v>
      </c>
      <c r="J1205" s="0" t="n">
        <f aca="false">$J$3*EXP(-$E$1*B1205*86.4/$G$1)</f>
        <v>33.5074807201795</v>
      </c>
      <c r="K1205" s="0" t="n">
        <f aca="false">J1204-J1205</f>
        <v>0.094801872986281</v>
      </c>
    </row>
    <row r="1206" customFormat="false" ht="12.8" hidden="false" customHeight="false" outlineLevel="0" collapsed="false">
      <c r="A1206" s="0" t="n">
        <v>1</v>
      </c>
      <c r="B1206" s="0" t="n">
        <f aca="false">B1205+A1206</f>
        <v>1203</v>
      </c>
      <c r="C1206" s="0" t="n">
        <f aca="false">$C$3+($G$1/($E$1*86.4))*SINH($E$1*B1206*86.4/$G$1)</f>
        <v>49894.6448384093</v>
      </c>
      <c r="D1206" s="0" t="n">
        <f aca="false">C1206-$C$3-B1206</f>
        <v>4087.64483840926</v>
      </c>
      <c r="E1206" s="0" t="n">
        <f aca="false">$E$1*B1206*86.4</f>
        <v>1019643.552</v>
      </c>
      <c r="F1206" s="0" t="n">
        <f aca="false">$G$1*G1206</f>
        <v>299330.892020154</v>
      </c>
      <c r="G1206" s="0" t="n">
        <f aca="false">TANH($E$1*B1206*86.4/$G$1)</f>
        <v>0.99776964006718</v>
      </c>
      <c r="H1206" s="0" t="n">
        <f aca="false">COSH($E$1*B1206*86.4/$G$1)</f>
        <v>14.9809659953719</v>
      </c>
      <c r="I1206" s="0" t="n">
        <f aca="false">(($G$1^2*1000)/($E$1*$I$1))*(H1206-1)</f>
        <v>13.5576001053618</v>
      </c>
      <c r="J1206" s="0" t="n">
        <f aca="false">$J$3*EXP(-$E$1*B1206*86.4/$G$1)</f>
        <v>33.4129463110209</v>
      </c>
      <c r="K1206" s="0" t="n">
        <f aca="false">J1205-J1206</f>
        <v>0.094534409158598</v>
      </c>
    </row>
    <row r="1207" customFormat="false" ht="12.8" hidden="false" customHeight="false" outlineLevel="0" collapsed="false">
      <c r="A1207" s="0" t="n">
        <v>1</v>
      </c>
      <c r="B1207" s="0" t="n">
        <f aca="false">B1206+A1207</f>
        <v>1204</v>
      </c>
      <c r="C1207" s="0" t="n">
        <f aca="false">$C$3+($G$1/($E$1*86.4))*SINH($E$1*B1207*86.4/$G$1)</f>
        <v>49909.6469398602</v>
      </c>
      <c r="D1207" s="0" t="n">
        <f aca="false">C1207-$C$3-B1207</f>
        <v>4101.64693986021</v>
      </c>
      <c r="E1207" s="0" t="n">
        <f aca="false">$E$1*B1207*86.4</f>
        <v>1020491.136</v>
      </c>
      <c r="F1207" s="0" t="n">
        <f aca="false">$G$1*G1207</f>
        <v>299334.658012358</v>
      </c>
      <c r="G1207" s="0" t="n">
        <f aca="false">TANH($E$1*B1207*86.4/$G$1)</f>
        <v>0.997782193374525</v>
      </c>
      <c r="H1207" s="0" t="n">
        <f aca="false">COSH($E$1*B1207*86.4/$G$1)</f>
        <v>15.0232568648594</v>
      </c>
      <c r="I1207" s="0" t="n">
        <f aca="false">(($G$1^2*1000)/($E$1*$I$1))*(H1207-1)</f>
        <v>13.5986103400486</v>
      </c>
      <c r="J1207" s="0" t="n">
        <f aca="false">$J$3*EXP(-$E$1*B1207*86.4/$G$1)</f>
        <v>33.3186786110963</v>
      </c>
      <c r="K1207" s="0" t="n">
        <f aca="false">J1206-J1207</f>
        <v>0.0942676999246217</v>
      </c>
    </row>
    <row r="1208" customFormat="false" ht="12.8" hidden="false" customHeight="false" outlineLevel="0" collapsed="false">
      <c r="A1208" s="0" t="n">
        <v>1</v>
      </c>
      <c r="B1208" s="0" t="n">
        <f aca="false">B1207+A1208</f>
        <v>1205</v>
      </c>
      <c r="C1208" s="0" t="n">
        <f aca="false">$C$3+($G$1/($E$1*86.4))*SINH($E$1*B1208*86.4/$G$1)</f>
        <v>49924.6913921119</v>
      </c>
      <c r="D1208" s="0" t="n">
        <f aca="false">C1208-$C$3-B1208</f>
        <v>4115.69139211191</v>
      </c>
      <c r="E1208" s="0" t="n">
        <f aca="false">$E$1*B1208*86.4</f>
        <v>1021338.72</v>
      </c>
      <c r="F1208" s="0" t="n">
        <f aca="false">$G$1*G1208</f>
        <v>299338.402831535</v>
      </c>
      <c r="G1208" s="0" t="n">
        <f aca="false">TANH($E$1*B1208*86.4/$G$1)</f>
        <v>0.997794676105115</v>
      </c>
      <c r="H1208" s="0" t="n">
        <f aca="false">COSH($E$1*B1208*86.4/$G$1)</f>
        <v>15.0656676531739</v>
      </c>
      <c r="I1208" s="0" t="n">
        <f aca="false">(($G$1^2*1000)/($E$1*$I$1))*(H1208-1)</f>
        <v>13.6397368622297</v>
      </c>
      <c r="J1208" s="0" t="n">
        <f aca="false">$J$3*EXP(-$E$1*B1208*86.4/$G$1)</f>
        <v>33.2246768679408</v>
      </c>
      <c r="K1208" s="0" t="n">
        <f aca="false">J1207-J1208</f>
        <v>0.0940017431554807</v>
      </c>
    </row>
    <row r="1209" customFormat="false" ht="12.8" hidden="false" customHeight="false" outlineLevel="0" collapsed="false">
      <c r="A1209" s="0" t="n">
        <v>1</v>
      </c>
      <c r="B1209" s="0" t="n">
        <f aca="false">B1208+A1209</f>
        <v>1206</v>
      </c>
      <c r="C1209" s="0" t="n">
        <f aca="false">$C$3+($G$1/($E$1*86.4))*SINH($E$1*B1209*86.4/$G$1)</f>
        <v>49939.7783152523</v>
      </c>
      <c r="D1209" s="0" t="n">
        <f aca="false">C1209-$C$3-B1209</f>
        <v>4129.77831525234</v>
      </c>
      <c r="E1209" s="0" t="n">
        <f aca="false">$E$1*B1209*86.4</f>
        <v>1022186.304</v>
      </c>
      <c r="F1209" s="0" t="n">
        <f aca="false">$G$1*G1209</f>
        <v>299342.12659646</v>
      </c>
      <c r="G1209" s="0" t="n">
        <f aca="false">TANH($E$1*B1209*86.4/$G$1)</f>
        <v>0.997807088654868</v>
      </c>
      <c r="H1209" s="0" t="n">
        <f aca="false">COSH($E$1*B1209*86.4/$G$1)</f>
        <v>15.1081986988473</v>
      </c>
      <c r="I1209" s="0" t="n">
        <f aca="false">(($G$1^2*1000)/($E$1*$I$1))*(H1209-1)</f>
        <v>13.6809800001856</v>
      </c>
      <c r="J1209" s="0" t="n">
        <f aca="false">$J$3*EXP(-$E$1*B1209*86.4/$G$1)</f>
        <v>33.1309403312126</v>
      </c>
      <c r="K1209" s="0" t="n">
        <f aca="false">J1208-J1209</f>
        <v>0.0937365367281728</v>
      </c>
    </row>
    <row r="1210" customFormat="false" ht="12.8" hidden="false" customHeight="false" outlineLevel="0" collapsed="false">
      <c r="A1210" s="0" t="n">
        <v>1</v>
      </c>
      <c r="B1210" s="0" t="n">
        <f aca="false">B1209+A1210</f>
        <v>1207</v>
      </c>
      <c r="C1210" s="0" t="n">
        <f aca="false">$C$3+($G$1/($E$1*86.4))*SINH($E$1*B1210*86.4/$G$1)</f>
        <v>49954.9078297085</v>
      </c>
      <c r="D1210" s="0" t="n">
        <f aca="false">C1210-$C$3-B1210</f>
        <v>4143.90782970854</v>
      </c>
      <c r="E1210" s="0" t="n">
        <f aca="false">$E$1*B1210*86.4</f>
        <v>1023033.888</v>
      </c>
      <c r="F1210" s="0" t="n">
        <f aca="false">$G$1*G1210</f>
        <v>299345.829425247</v>
      </c>
      <c r="G1210" s="0" t="n">
        <f aca="false">TANH($E$1*B1210*86.4/$G$1)</f>
        <v>0.997819431417491</v>
      </c>
      <c r="H1210" s="0" t="n">
        <f aca="false">COSH($E$1*B1210*86.4/$G$1)</f>
        <v>15.1508503413716</v>
      </c>
      <c r="I1210" s="0" t="n">
        <f aca="false">(($G$1^2*1000)/($E$1*$I$1))*(H1210-1)</f>
        <v>13.7223400831278</v>
      </c>
      <c r="J1210" s="0" t="n">
        <f aca="false">$J$3*EXP(-$E$1*B1210*86.4/$G$1)</f>
        <v>33.0374682526868</v>
      </c>
      <c r="K1210" s="0" t="n">
        <f aca="false">J1209-J1210</f>
        <v>0.0934720785258421</v>
      </c>
    </row>
    <row r="1211" customFormat="false" ht="12.8" hidden="false" customHeight="false" outlineLevel="0" collapsed="false">
      <c r="A1211" s="0" t="n">
        <v>1</v>
      </c>
      <c r="B1211" s="0" t="n">
        <f aca="false">B1210+A1211</f>
        <v>1208</v>
      </c>
      <c r="C1211" s="0" t="n">
        <f aca="false">$C$3+($G$1/($E$1*86.4))*SINH($E$1*B1211*86.4/$G$1)</f>
        <v>49970.0800562475</v>
      </c>
      <c r="D1211" s="0" t="n">
        <f aca="false">C1211-$C$3-B1211</f>
        <v>4158.08005624751</v>
      </c>
      <c r="E1211" s="0" t="n">
        <f aca="false">$E$1*B1211*86.4</f>
        <v>1023881.472</v>
      </c>
      <c r="F1211" s="0" t="n">
        <f aca="false">$G$1*G1211</f>
        <v>299349.511435348</v>
      </c>
      <c r="G1211" s="0" t="n">
        <f aca="false">TANH($E$1*B1211*86.4/$G$1)</f>
        <v>0.997831704784494</v>
      </c>
      <c r="H1211" s="0" t="n">
        <f aca="false">COSH($E$1*B1211*86.4/$G$1)</f>
        <v>15.1936229212012</v>
      </c>
      <c r="I1211" s="0" t="n">
        <f aca="false">(($G$1^2*1000)/($E$1*$I$1))*(H1211-1)</f>
        <v>13.7638174412013</v>
      </c>
      <c r="J1211" s="0" t="n">
        <f aca="false">$J$3*EXP(-$E$1*B1211*86.4/$G$1)</f>
        <v>32.9442598862493</v>
      </c>
      <c r="K1211" s="0" t="n">
        <f aca="false">J1210-J1211</f>
        <v>0.0932083664375085</v>
      </c>
    </row>
    <row r="1212" customFormat="false" ht="12.8" hidden="false" customHeight="false" outlineLevel="0" collapsed="false">
      <c r="A1212" s="0" t="n">
        <v>1</v>
      </c>
      <c r="B1212" s="0" t="n">
        <f aca="false">B1211+A1212</f>
        <v>1209</v>
      </c>
      <c r="C1212" s="0" t="n">
        <f aca="false">$C$3+($G$1/($E$1*86.4))*SINH($E$1*B1212*86.4/$G$1)</f>
        <v>49985.2951159772</v>
      </c>
      <c r="D1212" s="0" t="n">
        <f aca="false">C1212-$C$3-B1212</f>
        <v>4172.29511597718</v>
      </c>
      <c r="E1212" s="0" t="n">
        <f aca="false">$E$1*B1212*86.4</f>
        <v>1024729.056</v>
      </c>
      <c r="F1212" s="0" t="n">
        <f aca="false">$G$1*G1212</f>
        <v>299353.172743559</v>
      </c>
      <c r="G1212" s="0" t="n">
        <f aca="false">TANH($E$1*B1212*86.4/$G$1)</f>
        <v>0.997843909145197</v>
      </c>
      <c r="H1212" s="0" t="n">
        <f aca="false">COSH($E$1*B1212*86.4/$G$1)</f>
        <v>15.2365167797559</v>
      </c>
      <c r="I1212" s="0" t="n">
        <f aca="false">(($G$1^2*1000)/($E$1*$I$1))*(H1212-1)</f>
        <v>13.8054124054873</v>
      </c>
      <c r="J1212" s="0" t="n">
        <f aca="false">$J$3*EXP(-$E$1*B1212*86.4/$G$1)</f>
        <v>32.8513144878912</v>
      </c>
      <c r="K1212" s="0" t="n">
        <f aca="false">J1211-J1212</f>
        <v>0.092945398358097</v>
      </c>
    </row>
    <row r="1213" customFormat="false" ht="12.8" hidden="false" customHeight="false" outlineLevel="0" collapsed="false">
      <c r="A1213" s="0" t="n">
        <v>1</v>
      </c>
      <c r="B1213" s="0" t="n">
        <f aca="false">B1212+A1213</f>
        <v>1210</v>
      </c>
      <c r="C1213" s="0" t="n">
        <f aca="false">$C$3+($G$1/($E$1*86.4))*SINH($E$1*B1213*86.4/$G$1)</f>
        <v>50000.5531303474</v>
      </c>
      <c r="D1213" s="0" t="n">
        <f aca="false">C1213-$C$3-B1213</f>
        <v>4186.55313034738</v>
      </c>
      <c r="E1213" s="0" t="n">
        <f aca="false">$E$1*B1213*86.4</f>
        <v>1025576.64</v>
      </c>
      <c r="F1213" s="0" t="n">
        <f aca="false">$G$1*G1213</f>
        <v>299356.813466024</v>
      </c>
      <c r="G1213" s="0" t="n">
        <f aca="false">TANH($E$1*B1213*86.4/$G$1)</f>
        <v>0.997856044886747</v>
      </c>
      <c r="H1213" s="0" t="n">
        <f aca="false">COSH($E$1*B1213*86.4/$G$1)</f>
        <v>15.2795322594236</v>
      </c>
      <c r="I1213" s="0" t="n">
        <f aca="false">(($G$1^2*1000)/($E$1*$I$1))*(H1213-1)</f>
        <v>13.8471253080054</v>
      </c>
      <c r="J1213" s="0" t="n">
        <f aca="false">$J$3*EXP(-$E$1*B1213*86.4/$G$1)</f>
        <v>32.7586313157025</v>
      </c>
      <c r="K1213" s="0" t="n">
        <f aca="false">J1212-J1213</f>
        <v>0.092683172188643</v>
      </c>
    </row>
    <row r="1214" customFormat="false" ht="12.8" hidden="false" customHeight="false" outlineLevel="0" collapsed="false">
      <c r="A1214" s="0" t="n">
        <v>1</v>
      </c>
      <c r="B1214" s="0" t="n">
        <f aca="false">B1213+A1214</f>
        <v>1211</v>
      </c>
      <c r="C1214" s="0" t="n">
        <f aca="false">$C$3+($G$1/($E$1*86.4))*SINH($E$1*B1214*86.4/$G$1)</f>
        <v>50015.8542211508</v>
      </c>
      <c r="D1214" s="0" t="n">
        <f aca="false">C1214-$C$3-B1214</f>
        <v>4200.85422115083</v>
      </c>
      <c r="E1214" s="0" t="n">
        <f aca="false">$E$1*B1214*86.4</f>
        <v>1026424.224</v>
      </c>
      <c r="F1214" s="0" t="n">
        <f aca="false">$G$1*G1214</f>
        <v>299360.433718239</v>
      </c>
      <c r="G1214" s="0" t="n">
        <f aca="false">TANH($E$1*B1214*86.4/$G$1)</f>
        <v>0.99786811239413</v>
      </c>
      <c r="H1214" s="0" t="n">
        <f aca="false">COSH($E$1*B1214*86.4/$G$1)</f>
        <v>15.3226697035629</v>
      </c>
      <c r="I1214" s="0" t="n">
        <f aca="false">(($G$1^2*1000)/($E$1*$I$1))*(H1214-1)</f>
        <v>13.888956481717</v>
      </c>
      <c r="J1214" s="0" t="n">
        <f aca="false">$J$3*EXP(-$E$1*B1214*86.4/$G$1)</f>
        <v>32.6662096298666</v>
      </c>
      <c r="K1214" s="0" t="n">
        <f aca="false">J1213-J1214</f>
        <v>0.0924216858359301</v>
      </c>
    </row>
    <row r="1215" customFormat="false" ht="12.8" hidden="false" customHeight="false" outlineLevel="0" collapsed="false">
      <c r="A1215" s="0" t="n">
        <v>1</v>
      </c>
      <c r="B1215" s="0" t="n">
        <f aca="false">B1214+A1215</f>
        <v>1212</v>
      </c>
      <c r="C1215" s="0" t="n">
        <f aca="false">$C$3+($G$1/($E$1*86.4))*SINH($E$1*B1215*86.4/$G$1)</f>
        <v>50031.1985105241</v>
      </c>
      <c r="D1215" s="0" t="n">
        <f aca="false">C1215-$C$3-B1215</f>
        <v>4215.1985105241</v>
      </c>
      <c r="E1215" s="0" t="n">
        <f aca="false">$E$1*B1215*86.4</f>
        <v>1027271.808</v>
      </c>
      <c r="F1215" s="0" t="n">
        <f aca="false">$G$1*G1215</f>
        <v>299364.033615054</v>
      </c>
      <c r="G1215" s="0" t="n">
        <f aca="false">TANH($E$1*B1215*86.4/$G$1)</f>
        <v>0.997880112050179</v>
      </c>
      <c r="H1215" s="0" t="n">
        <f aca="false">COSH($E$1*B1215*86.4/$G$1)</f>
        <v>15.3659294565062</v>
      </c>
      <c r="I1215" s="0" t="n">
        <f aca="false">(($G$1^2*1000)/($E$1*$I$1))*(H1215-1)</f>
        <v>13.9309062605274</v>
      </c>
      <c r="J1215" s="0" t="n">
        <f aca="false">$J$3*EXP(-$E$1*B1215*86.4/$G$1)</f>
        <v>32.5740486926538</v>
      </c>
      <c r="K1215" s="0" t="n">
        <f aca="false">J1214-J1215</f>
        <v>0.0921609372127605</v>
      </c>
    </row>
    <row r="1216" customFormat="false" ht="12.8" hidden="false" customHeight="false" outlineLevel="0" collapsed="false">
      <c r="A1216" s="0" t="n">
        <v>1</v>
      </c>
      <c r="B1216" s="0" t="n">
        <f aca="false">B1215+A1216</f>
        <v>1213</v>
      </c>
      <c r="C1216" s="0" t="n">
        <f aca="false">$C$3+($G$1/($E$1*86.4))*SINH($E$1*B1216*86.4/$G$1)</f>
        <v>50046.5861209485</v>
      </c>
      <c r="D1216" s="0" t="n">
        <f aca="false">C1216-$C$3-B1216</f>
        <v>4229.58612094854</v>
      </c>
      <c r="E1216" s="0" t="n">
        <f aca="false">$E$1*B1216*86.4</f>
        <v>1028119.392</v>
      </c>
      <c r="F1216" s="0" t="n">
        <f aca="false">$G$1*G1216</f>
        <v>299367.613270676</v>
      </c>
      <c r="G1216" s="0" t="n">
        <f aca="false">TANH($E$1*B1216*86.4/$G$1)</f>
        <v>0.997892044235588</v>
      </c>
      <c r="H1216" s="0" t="n">
        <f aca="false">COSH($E$1*B1216*86.4/$G$1)</f>
        <v>15.4093118635619</v>
      </c>
      <c r="I1216" s="0" t="n">
        <f aca="false">(($G$1^2*1000)/($E$1*$I$1))*(H1216-1)</f>
        <v>13.9729749792887</v>
      </c>
      <c r="J1216" s="0" t="n">
        <f aca="false">$J$3*EXP(-$E$1*B1216*86.4/$G$1)</f>
        <v>32.4821477684161</v>
      </c>
      <c r="K1216" s="0" t="n">
        <f aca="false">J1215-J1216</f>
        <v>0.0919009242377484</v>
      </c>
    </row>
    <row r="1217" customFormat="false" ht="12.8" hidden="false" customHeight="false" outlineLevel="0" collapsed="false">
      <c r="A1217" s="0" t="n">
        <v>1</v>
      </c>
      <c r="B1217" s="0" t="n">
        <f aca="false">B1216+A1217</f>
        <v>1214</v>
      </c>
      <c r="C1217" s="0" t="n">
        <f aca="false">$C$3+($G$1/($E$1*86.4))*SINH($E$1*B1217*86.4/$G$1)</f>
        <v>50062.0171752513</v>
      </c>
      <c r="D1217" s="0" t="n">
        <f aca="false">C1217-$C$3-B1217</f>
        <v>4244.01717525134</v>
      </c>
      <c r="E1217" s="0" t="n">
        <f aca="false">$E$1*B1217*86.4</f>
        <v>1028966.976</v>
      </c>
      <c r="F1217" s="0" t="n">
        <f aca="false">$G$1*G1217</f>
        <v>299371.172798678</v>
      </c>
      <c r="G1217" s="0" t="n">
        <f aca="false">TANH($E$1*B1217*86.4/$G$1)</f>
        <v>0.997903909328927</v>
      </c>
      <c r="H1217" s="0" t="n">
        <f aca="false">COSH($E$1*B1217*86.4/$G$1)</f>
        <v>15.4528172710177</v>
      </c>
      <c r="I1217" s="0" t="n">
        <f aca="false">(($G$1^2*1000)/($E$1*$I$1))*(H1217-1)</f>
        <v>14.0151629738022</v>
      </c>
      <c r="J1217" s="0" t="n">
        <f aca="false">$J$3*EXP(-$E$1*B1217*86.4/$G$1)</f>
        <v>32.3905061235806</v>
      </c>
      <c r="K1217" s="0" t="n">
        <f aca="false">J1216-J1217</f>
        <v>0.0916416448354482</v>
      </c>
    </row>
    <row r="1218" customFormat="false" ht="12.8" hidden="false" customHeight="false" outlineLevel="0" collapsed="false">
      <c r="A1218" s="0" t="n">
        <v>1</v>
      </c>
      <c r="B1218" s="0" t="n">
        <f aca="false">B1217+A1218</f>
        <v>1215</v>
      </c>
      <c r="C1218" s="0" t="n">
        <f aca="false">$C$3+($G$1/($E$1*86.4))*SINH($E$1*B1218*86.4/$G$1)</f>
        <v>50077.4917966065</v>
      </c>
      <c r="D1218" s="0" t="n">
        <f aca="false">C1218-$C$3-B1218</f>
        <v>4258.49179660645</v>
      </c>
      <c r="E1218" s="0" t="n">
        <f aca="false">$E$1*B1218*86.4</f>
        <v>1029814.56</v>
      </c>
      <c r="F1218" s="0" t="n">
        <f aca="false">$G$1*G1218</f>
        <v>299374.712311994</v>
      </c>
      <c r="G1218" s="0" t="n">
        <f aca="false">TANH($E$1*B1218*86.4/$G$1)</f>
        <v>0.997915707706647</v>
      </c>
      <c r="H1218" s="0" t="n">
        <f aca="false">COSH($E$1*B1218*86.4/$G$1)</f>
        <v>15.4964460261429</v>
      </c>
      <c r="I1218" s="0" t="n">
        <f aca="false">(($G$1^2*1000)/($E$1*$I$1))*(H1218-1)</f>
        <v>14.0574705808215</v>
      </c>
      <c r="J1218" s="0" t="n">
        <f aca="false">$J$3*EXP(-$E$1*B1218*86.4/$G$1)</f>
        <v>32.2991230266444</v>
      </c>
      <c r="K1218" s="0" t="n">
        <f aca="false">J1217-J1218</f>
        <v>0.0913830969362266</v>
      </c>
    </row>
    <row r="1219" customFormat="false" ht="12.8" hidden="false" customHeight="false" outlineLevel="0" collapsed="false">
      <c r="A1219" s="0" t="n">
        <v>1</v>
      </c>
      <c r="B1219" s="0" t="n">
        <f aca="false">B1218+A1219</f>
        <v>1216</v>
      </c>
      <c r="C1219" s="0" t="n">
        <f aca="false">$C$3+($G$1/($E$1*86.4))*SINH($E$1*B1219*86.4/$G$1)</f>
        <v>50093.0101085356</v>
      </c>
      <c r="D1219" s="0" t="n">
        <f aca="false">C1219-$C$3-B1219</f>
        <v>4273.01010853559</v>
      </c>
      <c r="E1219" s="0" t="n">
        <f aca="false">$E$1*B1219*86.4</f>
        <v>1030662.144</v>
      </c>
      <c r="F1219" s="0" t="n">
        <f aca="false">$G$1*G1219</f>
        <v>299378.23192293</v>
      </c>
      <c r="G1219" s="0" t="n">
        <f aca="false">TANH($E$1*B1219*86.4/$G$1)</f>
        <v>0.9979274397431</v>
      </c>
      <c r="H1219" s="0" t="n">
        <f aca="false">COSH($E$1*B1219*86.4/$G$1)</f>
        <v>15.5401984771916</v>
      </c>
      <c r="I1219" s="0" t="n">
        <f aca="false">(($G$1^2*1000)/($E$1*$I$1))*(H1219-1)</f>
        <v>14.0998981380549</v>
      </c>
      <c r="J1219" s="0" t="n">
        <f aca="false">$J$3*EXP(-$E$1*B1219*86.4/$G$1)</f>
        <v>32.2079977481681</v>
      </c>
      <c r="K1219" s="0" t="n">
        <f aca="false">J1218-J1219</f>
        <v>0.0911252784762766</v>
      </c>
    </row>
    <row r="1220" customFormat="false" ht="12.8" hidden="false" customHeight="false" outlineLevel="0" collapsed="false">
      <c r="A1220" s="0" t="n">
        <v>1</v>
      </c>
      <c r="B1220" s="0" t="n">
        <f aca="false">B1219+A1220</f>
        <v>1217</v>
      </c>
      <c r="C1220" s="0" t="n">
        <f aca="false">$C$3+($G$1/($E$1*86.4))*SINH($E$1*B1220*86.4/$G$1)</f>
        <v>50108.5722349092</v>
      </c>
      <c r="D1220" s="0" t="n">
        <f aca="false">C1220-$C$3-B1220</f>
        <v>4287.57223490922</v>
      </c>
      <c r="E1220" s="0" t="n">
        <f aca="false">$E$1*B1220*86.4</f>
        <v>1031509.728</v>
      </c>
      <c r="F1220" s="0" t="n">
        <f aca="false">$G$1*G1220</f>
        <v>299381.731743163</v>
      </c>
      <c r="G1220" s="0" t="n">
        <f aca="false">TANH($E$1*B1220*86.4/$G$1)</f>
        <v>0.997939105810542</v>
      </c>
      <c r="H1220" s="0" t="n">
        <f aca="false">COSH($E$1*B1220*86.4/$G$1)</f>
        <v>15.5840749734051</v>
      </c>
      <c r="I1220" s="0" t="n">
        <f aca="false">(($G$1^2*1000)/($E$1*$I$1))*(H1220-1)</f>
        <v>14.1424459841683</v>
      </c>
      <c r="J1220" s="0" t="n">
        <f aca="false">$J$3*EXP(-$E$1*B1220*86.4/$G$1)</f>
        <v>32.1171295607705</v>
      </c>
      <c r="K1220" s="0" t="n">
        <f aca="false">J1219-J1220</f>
        <v>0.0908681873976391</v>
      </c>
    </row>
    <row r="1221" customFormat="false" ht="12.8" hidden="false" customHeight="false" outlineLevel="0" collapsed="false">
      <c r="A1221" s="0" t="n">
        <v>1</v>
      </c>
      <c r="B1221" s="0" t="n">
        <f aca="false">B1220+A1221</f>
        <v>1218</v>
      </c>
      <c r="C1221" s="0" t="n">
        <f aca="false">$C$3+($G$1/($E$1*86.4))*SINH($E$1*B1221*86.4/$G$1)</f>
        <v>50124.1782999475</v>
      </c>
      <c r="D1221" s="0" t="n">
        <f aca="false">C1221-$C$3-B1221</f>
        <v>4302.17829994752</v>
      </c>
      <c r="E1221" s="0" t="n">
        <f aca="false">$E$1*B1221*86.4</f>
        <v>1032357.312</v>
      </c>
      <c r="F1221" s="0" t="n">
        <f aca="false">$G$1*G1221</f>
        <v>299385.211883745</v>
      </c>
      <c r="G1221" s="0" t="n">
        <f aca="false">TANH($E$1*B1221*86.4/$G$1)</f>
        <v>0.997950706279151</v>
      </c>
      <c r="H1221" s="0" t="n">
        <f aca="false">COSH($E$1*B1221*86.4/$G$1)</f>
        <v>15.6280758650149</v>
      </c>
      <c r="I1221" s="0" t="n">
        <f aca="false">(($G$1^2*1000)/($E$1*$I$1))*(H1221-1)</f>
        <v>14.1851144587874</v>
      </c>
      <c r="J1221" s="0" t="n">
        <f aca="false">$J$3*EXP(-$E$1*B1221*86.4/$G$1)</f>
        <v>32.0265177391223</v>
      </c>
      <c r="K1221" s="0" t="n">
        <f aca="false">J1220-J1221</f>
        <v>0.0906118216481886</v>
      </c>
    </row>
    <row r="1222" customFormat="false" ht="12.8" hidden="false" customHeight="false" outlineLevel="0" collapsed="false">
      <c r="A1222" s="0" t="n">
        <v>1</v>
      </c>
      <c r="B1222" s="0" t="n">
        <f aca="false">B1221+A1222</f>
        <v>1219</v>
      </c>
      <c r="C1222" s="0" t="n">
        <f aca="false">$C$3+($G$1/($E$1*86.4))*SINH($E$1*B1222*86.4/$G$1)</f>
        <v>50139.8284282214</v>
      </c>
      <c r="D1222" s="0" t="n">
        <f aca="false">C1222-$C$3-B1222</f>
        <v>4316.82842822144</v>
      </c>
      <c r="E1222" s="0" t="n">
        <f aca="false">$E$1*B1222*86.4</f>
        <v>1033204.896</v>
      </c>
      <c r="F1222" s="0" t="n">
        <f aca="false">$G$1*G1222</f>
        <v>299388.672455111</v>
      </c>
      <c r="G1222" s="0" t="n">
        <f aca="false">TANH($E$1*B1222*86.4/$G$1)</f>
        <v>0.997962241517037</v>
      </c>
      <c r="H1222" s="0" t="n">
        <f aca="false">COSH($E$1*B1222*86.4/$G$1)</f>
        <v>15.6722015032454</v>
      </c>
      <c r="I1222" s="0" t="n">
        <f aca="false">(($G$1^2*1000)/($E$1*$I$1))*(H1222-1)</f>
        <v>14.2279039025012</v>
      </c>
      <c r="J1222" s="0" t="n">
        <f aca="false">$J$3*EXP(-$E$1*B1222*86.4/$G$1)</f>
        <v>31.9361615599407</v>
      </c>
      <c r="K1222" s="0" t="n">
        <f aca="false">J1221-J1222</f>
        <v>0.0903561791815797</v>
      </c>
    </row>
    <row r="1223" customFormat="false" ht="12.8" hidden="false" customHeight="false" outlineLevel="0" collapsed="false">
      <c r="A1223" s="0" t="n">
        <v>1</v>
      </c>
      <c r="B1223" s="0" t="n">
        <f aca="false">B1222+A1223</f>
        <v>1220</v>
      </c>
      <c r="C1223" s="0" t="n">
        <f aca="false">$C$3+($G$1/($E$1*86.4))*SINH($E$1*B1223*86.4/$G$1)</f>
        <v>50155.5227446536</v>
      </c>
      <c r="D1223" s="0" t="n">
        <f aca="false">C1223-$C$3-B1223</f>
        <v>4331.52274465362</v>
      </c>
      <c r="E1223" s="0" t="n">
        <f aca="false">$E$1*B1223*86.4</f>
        <v>1034052.48</v>
      </c>
      <c r="F1223" s="0" t="n">
        <f aca="false">$G$1*G1223</f>
        <v>299392.113567075</v>
      </c>
      <c r="G1223" s="0" t="n">
        <f aca="false">TANH($E$1*B1223*86.4/$G$1)</f>
        <v>0.997973711890252</v>
      </c>
      <c r="H1223" s="0" t="n">
        <f aca="false">COSH($E$1*B1223*86.4/$G$1)</f>
        <v>15.716452240317</v>
      </c>
      <c r="I1223" s="0" t="n">
        <f aca="false">(($G$1^2*1000)/($E$1*$I$1))*(H1223-1)</f>
        <v>14.2708146568641</v>
      </c>
      <c r="J1223" s="0" t="n">
        <f aca="false">$J$3*EXP(-$E$1*B1223*86.4/$G$1)</f>
        <v>31.8460603019836</v>
      </c>
      <c r="K1223" s="0" t="n">
        <f aca="false">J1222-J1223</f>
        <v>0.0901012579571159</v>
      </c>
    </row>
    <row r="1224" customFormat="false" ht="12.8" hidden="false" customHeight="false" outlineLevel="0" collapsed="false">
      <c r="A1224" s="0" t="n">
        <v>1</v>
      </c>
      <c r="B1224" s="0" t="n">
        <f aca="false">B1223+A1224</f>
        <v>1221</v>
      </c>
      <c r="C1224" s="0" t="n">
        <f aca="false">$C$3+($G$1/($E$1*86.4))*SINH($E$1*B1224*86.4/$G$1)</f>
        <v>50171.2613745194</v>
      </c>
      <c r="D1224" s="0" t="n">
        <f aca="false">C1224-$C$3-B1224</f>
        <v>4346.26137451942</v>
      </c>
      <c r="E1224" s="0" t="n">
        <f aca="false">$E$1*B1224*86.4</f>
        <v>1034900.064</v>
      </c>
      <c r="F1224" s="0" t="n">
        <f aca="false">$G$1*G1224</f>
        <v>299395.53532884</v>
      </c>
      <c r="G1224" s="0" t="n">
        <f aca="false">TANH($E$1*B1224*86.4/$G$1)</f>
        <v>0.997985117762801</v>
      </c>
      <c r="H1224" s="0" t="n">
        <f aca="false">COSH($E$1*B1224*86.4/$G$1)</f>
        <v>15.7608284294483</v>
      </c>
      <c r="I1224" s="0" t="n">
        <f aca="false">(($G$1^2*1000)/($E$1*$I$1))*(H1224-1)</f>
        <v>14.3138470643989</v>
      </c>
      <c r="J1224" s="0" t="n">
        <f aca="false">$J$3*EXP(-$E$1*B1224*86.4/$G$1)</f>
        <v>31.7562132460435</v>
      </c>
      <c r="K1224" s="0" t="n">
        <f aca="false">J1223-J1224</f>
        <v>0.0898470559400835</v>
      </c>
    </row>
    <row r="1225" customFormat="false" ht="12.8" hidden="false" customHeight="false" outlineLevel="0" collapsed="false">
      <c r="A1225" s="0" t="n">
        <v>1</v>
      </c>
      <c r="B1225" s="0" t="n">
        <f aca="false">B1224+A1225</f>
        <v>1222</v>
      </c>
      <c r="C1225" s="0" t="n">
        <f aca="false">$C$3+($G$1/($E$1*86.4))*SINH($E$1*B1225*86.4/$G$1)</f>
        <v>50187.0444434479</v>
      </c>
      <c r="D1225" s="0" t="n">
        <f aca="false">C1225-$C$3-B1225</f>
        <v>4361.04444344793</v>
      </c>
      <c r="E1225" s="0" t="n">
        <f aca="false">$E$1*B1225*86.4</f>
        <v>1035747.648</v>
      </c>
      <c r="F1225" s="0" t="n">
        <f aca="false">$G$1*G1225</f>
        <v>299398.937848997</v>
      </c>
      <c r="G1225" s="0" t="n">
        <f aca="false">TANH($E$1*B1225*86.4/$G$1)</f>
        <v>0.997996459496656</v>
      </c>
      <c r="H1225" s="0" t="n">
        <f aca="false">COSH($E$1*B1225*86.4/$G$1)</f>
        <v>15.8053304248595</v>
      </c>
      <c r="I1225" s="0" t="n">
        <f aca="false">(($G$1^2*1000)/($E$1*$I$1))*(H1225-1)</f>
        <v>14.3570014685993</v>
      </c>
      <c r="J1225" s="0" t="n">
        <f aca="false">$J$3*EXP(-$E$1*B1225*86.4/$G$1)</f>
        <v>31.6666196749422</v>
      </c>
      <c r="K1225" s="0" t="n">
        <f aca="false">J1224-J1225</f>
        <v>0.0895935711012967</v>
      </c>
    </row>
    <row r="1226" customFormat="false" ht="12.8" hidden="false" customHeight="false" outlineLevel="0" collapsed="false">
      <c r="A1226" s="0" t="n">
        <v>1</v>
      </c>
      <c r="B1226" s="0" t="n">
        <f aca="false">B1225+A1226</f>
        <v>1223</v>
      </c>
      <c r="C1226" s="0" t="n">
        <f aca="false">$C$3+($G$1/($E$1*86.4))*SINH($E$1*B1226*86.4/$G$1)</f>
        <v>50202.872077423</v>
      </c>
      <c r="D1226" s="0" t="n">
        <f aca="false">C1226-$C$3-B1226</f>
        <v>4375.87207742296</v>
      </c>
      <c r="E1226" s="0" t="n">
        <f aca="false">$E$1*B1226*86.4</f>
        <v>1036595.232</v>
      </c>
      <c r="F1226" s="0" t="n">
        <f aca="false">$G$1*G1226</f>
        <v>299402.32123553</v>
      </c>
      <c r="G1226" s="0" t="n">
        <f aca="false">TANH($E$1*B1226*86.4/$G$1)</f>
        <v>0.998007737451766</v>
      </c>
      <c r="H1226" s="0" t="n">
        <f aca="false">COSH($E$1*B1226*86.4/$G$1)</f>
        <v>15.8499585817751</v>
      </c>
      <c r="I1226" s="0" t="n">
        <f aca="false">(($G$1^2*1000)/($E$1*$I$1))*(H1226-1)</f>
        <v>14.4002782139329</v>
      </c>
      <c r="J1226" s="0" t="n">
        <f aca="false">$J$3*EXP(-$E$1*B1226*86.4/$G$1)</f>
        <v>31.5772788735247</v>
      </c>
      <c r="K1226" s="0" t="n">
        <f aca="false">J1225-J1226</f>
        <v>0.0893408014174675</v>
      </c>
    </row>
    <row r="1227" customFormat="false" ht="12.8" hidden="false" customHeight="false" outlineLevel="0" collapsed="false">
      <c r="A1227" s="0" t="n">
        <v>1</v>
      </c>
      <c r="B1227" s="0" t="n">
        <f aca="false">B1226+A1227</f>
        <v>1224</v>
      </c>
      <c r="C1227" s="0" t="n">
        <f aca="false">$C$3+($G$1/($E$1*86.4))*SINH($E$1*B1227*86.4/$G$1)</f>
        <v>50218.7444027841</v>
      </c>
      <c r="D1227" s="0" t="n">
        <f aca="false">C1227-$C$3-B1227</f>
        <v>4390.74440278405</v>
      </c>
      <c r="E1227" s="0" t="n">
        <f aca="false">$E$1*B1227*86.4</f>
        <v>1037442.816</v>
      </c>
      <c r="F1227" s="0" t="n">
        <f aca="false">$G$1*G1227</f>
        <v>299405.685595821</v>
      </c>
      <c r="G1227" s="0" t="n">
        <f aca="false">TANH($E$1*B1227*86.4/$G$1)</f>
        <v>0.998018951986069</v>
      </c>
      <c r="H1227" s="0" t="n">
        <f aca="false">COSH($E$1*B1227*86.4/$G$1)</f>
        <v>15.8947132564264</v>
      </c>
      <c r="I1227" s="0" t="n">
        <f aca="false">(($G$1^2*1000)/($E$1*$I$1))*(H1227-1)</f>
        <v>14.4436776458441</v>
      </c>
      <c r="J1227" s="0" t="n">
        <f aca="false">$J$3*EXP(-$E$1*B1227*86.4/$G$1)</f>
        <v>31.4881901286539</v>
      </c>
      <c r="K1227" s="0" t="n">
        <f aca="false">J1226-J1227</f>
        <v>0.0890887448708426</v>
      </c>
    </row>
    <row r="1228" customFormat="false" ht="12.8" hidden="false" customHeight="false" outlineLevel="0" collapsed="false">
      <c r="A1228" s="0" t="n">
        <v>1</v>
      </c>
      <c r="B1228" s="0" t="n">
        <f aca="false">B1227+A1228</f>
        <v>1225</v>
      </c>
      <c r="C1228" s="0" t="n">
        <f aca="false">$C$3+($G$1/($E$1*86.4))*SINH($E$1*B1228*86.4/$G$1)</f>
        <v>50234.6615462275</v>
      </c>
      <c r="D1228" s="0" t="n">
        <f aca="false">C1228-$C$3-B1228</f>
        <v>4405.66154622746</v>
      </c>
      <c r="E1228" s="0" t="n">
        <f aca="false">$E$1*B1228*86.4</f>
        <v>1038290.4</v>
      </c>
      <c r="F1228" s="0" t="n">
        <f aca="false">$G$1*G1228</f>
        <v>299409.03103665</v>
      </c>
      <c r="G1228" s="0" t="n">
        <f aca="false">TANH($E$1*B1228*86.4/$G$1)</f>
        <v>0.998030103455498</v>
      </c>
      <c r="H1228" s="0" t="n">
        <f aca="false">COSH($E$1*B1228*86.4/$G$1)</f>
        <v>15.9395948060547</v>
      </c>
      <c r="I1228" s="0" t="n">
        <f aca="false">(($G$1^2*1000)/($E$1*$I$1))*(H1228-1)</f>
        <v>14.4872001107561</v>
      </c>
      <c r="J1228" s="0" t="n">
        <f aca="false">$J$3*EXP(-$E$1*B1228*86.4/$G$1)</f>
        <v>31.3993527292044</v>
      </c>
      <c r="K1228" s="0" t="n">
        <f aca="false">J1227-J1228</f>
        <v>0.0888373994495098</v>
      </c>
    </row>
    <row r="1229" customFormat="false" ht="12.8" hidden="false" customHeight="false" outlineLevel="0" collapsed="false">
      <c r="A1229" s="0" t="n">
        <v>1</v>
      </c>
      <c r="B1229" s="0" t="n">
        <f aca="false">B1228+A1229</f>
        <v>1226</v>
      </c>
      <c r="C1229" s="0" t="n">
        <f aca="false">$C$3+($G$1/($E$1*86.4))*SINH($E$1*B1229*86.4/$G$1)</f>
        <v>50250.6236348072</v>
      </c>
      <c r="D1229" s="0" t="n">
        <f aca="false">C1229-$C$3-B1229</f>
        <v>4420.62363480722</v>
      </c>
      <c r="E1229" s="0" t="n">
        <f aca="false">$E$1*B1229*86.4</f>
        <v>1039137.984</v>
      </c>
      <c r="F1229" s="0" t="n">
        <f aca="false">$G$1*G1229</f>
        <v>299412.357664201</v>
      </c>
      <c r="G1229" s="0" t="n">
        <f aca="false">TANH($E$1*B1229*86.4/$G$1)</f>
        <v>0.998041192214002</v>
      </c>
      <c r="H1229" s="0" t="n">
        <f aca="false">COSH($E$1*B1229*86.4/$G$1)</f>
        <v>15.9846035889142</v>
      </c>
      <c r="I1229" s="0" t="n">
        <f aca="false">(($G$1^2*1000)/($E$1*$I$1))*(H1229-1)</f>
        <v>14.5308459560747</v>
      </c>
      <c r="J1229" s="0" t="n">
        <f aca="false">$J$3*EXP(-$E$1*B1229*86.4/$G$1)</f>
        <v>31.3107659660572</v>
      </c>
      <c r="K1229" s="0" t="n">
        <f aca="false">J1228-J1229</f>
        <v>0.0885867631471982</v>
      </c>
    </row>
    <row r="1230" customFormat="false" ht="12.8" hidden="false" customHeight="false" outlineLevel="0" collapsed="false">
      <c r="A1230" s="0" t="n">
        <v>1</v>
      </c>
      <c r="B1230" s="0" t="n">
        <f aca="false">B1229+A1230</f>
        <v>1227</v>
      </c>
      <c r="C1230" s="0" t="n">
        <f aca="false">$C$3+($G$1/($E$1*86.4))*SINH($E$1*B1230*86.4/$G$1)</f>
        <v>50266.6307959361</v>
      </c>
      <c r="D1230" s="0" t="n">
        <f aca="false">C1230-$C$3-B1230</f>
        <v>4435.63079593611</v>
      </c>
      <c r="E1230" s="0" t="n">
        <f aca="false">$E$1*B1230*86.4</f>
        <v>1039985.568</v>
      </c>
      <c r="F1230" s="0" t="n">
        <f aca="false">$G$1*G1230</f>
        <v>299415.665584064</v>
      </c>
      <c r="G1230" s="0" t="n">
        <f aca="false">TANH($E$1*B1230*86.4/$G$1)</f>
        <v>0.998052218613547</v>
      </c>
      <c r="H1230" s="0" t="n">
        <f aca="false">COSH($E$1*B1230*86.4/$G$1)</f>
        <v>16.0297399642745</v>
      </c>
      <c r="I1230" s="0" t="n">
        <f aca="false">(($G$1^2*1000)/($E$1*$I$1))*(H1230-1)</f>
        <v>14.5746155301901</v>
      </c>
      <c r="J1230" s="0" t="n">
        <f aca="false">$J$3*EXP(-$E$1*B1230*86.4/$G$1)</f>
        <v>31.222429132094</v>
      </c>
      <c r="K1230" s="0" t="n">
        <f aca="false">J1229-J1230</f>
        <v>0.0883368339632078</v>
      </c>
    </row>
    <row r="1231" customFormat="false" ht="12.8" hidden="false" customHeight="false" outlineLevel="0" collapsed="false">
      <c r="A1231" s="0" t="n">
        <v>1</v>
      </c>
      <c r="B1231" s="0" t="n">
        <f aca="false">B1230+A1231</f>
        <v>1228</v>
      </c>
      <c r="C1231" s="0" t="n">
        <f aca="false">$C$3+($G$1/($E$1*86.4))*SINH($E$1*B1231*86.4/$G$1)</f>
        <v>50282.6831573867</v>
      </c>
      <c r="D1231" s="0" t="n">
        <f aca="false">C1231-$C$3-B1231</f>
        <v>4450.68315738669</v>
      </c>
      <c r="E1231" s="0" t="n">
        <f aca="false">$E$1*B1231*86.4</f>
        <v>1040833.152</v>
      </c>
      <c r="F1231" s="0" t="n">
        <f aca="false">$G$1*G1231</f>
        <v>299418.95490124</v>
      </c>
      <c r="G1231" s="0" t="n">
        <f aca="false">TANH($E$1*B1231*86.4/$G$1)</f>
        <v>0.998063183004134</v>
      </c>
      <c r="H1231" s="0" t="n">
        <f aca="false">COSH($E$1*B1231*86.4/$G$1)</f>
        <v>16.0750042924237</v>
      </c>
      <c r="I1231" s="0" t="n">
        <f aca="false">(($G$1^2*1000)/($E$1*$I$1))*(H1231-1)</f>
        <v>14.6185091824805</v>
      </c>
      <c r="J1231" s="0" t="n">
        <f aca="false">$J$3*EXP(-$E$1*B1231*86.4/$G$1)</f>
        <v>31.1343415221914</v>
      </c>
      <c r="K1231" s="0" t="n">
        <f aca="false">J1230-J1231</f>
        <v>0.0880876099026189</v>
      </c>
    </row>
    <row r="1232" customFormat="false" ht="12.8" hidden="false" customHeight="false" outlineLevel="0" collapsed="false">
      <c r="A1232" s="0" t="n">
        <v>1</v>
      </c>
      <c r="B1232" s="0" t="n">
        <f aca="false">B1231+A1232</f>
        <v>1229</v>
      </c>
      <c r="C1232" s="0" t="n">
        <f aca="false">$C$3+($G$1/($E$1*86.4))*SINH($E$1*B1232*86.4/$G$1)</f>
        <v>50298.7808472923</v>
      </c>
      <c r="D1232" s="0" t="n">
        <f aca="false">C1232-$C$3-B1232</f>
        <v>4465.78084729231</v>
      </c>
      <c r="E1232" s="0" t="n">
        <f aca="false">$E$1*B1232*86.4</f>
        <v>1041680.736</v>
      </c>
      <c r="F1232" s="0" t="n">
        <f aca="false">$G$1*G1232</f>
        <v>299422.225720141</v>
      </c>
      <c r="G1232" s="0" t="n">
        <f aca="false">TANH($E$1*B1232*86.4/$G$1)</f>
        <v>0.998074085733805</v>
      </c>
      <c r="H1232" s="0" t="n">
        <f aca="false">COSH($E$1*B1232*86.4/$G$1)</f>
        <v>16.1203969346712</v>
      </c>
      <c r="I1232" s="0" t="n">
        <f aca="false">(($G$1^2*1000)/($E$1*$I$1))*(H1232-1)</f>
        <v>14.6625272633143</v>
      </c>
      <c r="J1232" s="0" t="n">
        <f aca="false">$J$3*EXP(-$E$1*B1232*86.4/$G$1)</f>
        <v>31.0465024332154</v>
      </c>
      <c r="K1232" s="0" t="n">
        <f aca="false">J1231-J1232</f>
        <v>0.0878390889760148</v>
      </c>
    </row>
    <row r="1233" customFormat="false" ht="12.8" hidden="false" customHeight="false" outlineLevel="0" collapsed="false">
      <c r="A1233" s="0" t="n">
        <v>1</v>
      </c>
      <c r="B1233" s="0" t="n">
        <f aca="false">B1232+A1233</f>
        <v>1230</v>
      </c>
      <c r="C1233" s="0" t="n">
        <f aca="false">$C$3+($G$1/($E$1*86.4))*SINH($E$1*B1233*86.4/$G$1)</f>
        <v>50314.9239941482</v>
      </c>
      <c r="D1233" s="0" t="n">
        <f aca="false">C1233-$C$3-B1233</f>
        <v>4480.92399414817</v>
      </c>
      <c r="E1233" s="0" t="n">
        <f aca="false">$E$1*B1233*86.4</f>
        <v>1042528.32</v>
      </c>
      <c r="F1233" s="0" t="n">
        <f aca="false">$G$1*G1233</f>
        <v>299425.478144597</v>
      </c>
      <c r="G1233" s="0" t="n">
        <f aca="false">TANH($E$1*B1233*86.4/$G$1)</f>
        <v>0.998084927148658</v>
      </c>
      <c r="H1233" s="0" t="n">
        <f aca="false">COSH($E$1*B1233*86.4/$G$1)</f>
        <v>16.1659182533509</v>
      </c>
      <c r="I1233" s="0" t="n">
        <f aca="false">(($G$1^2*1000)/($E$1*$I$1))*(H1233-1)</f>
        <v>14.7066701240531</v>
      </c>
      <c r="J1233" s="0" t="n">
        <f aca="false">$J$3*EXP(-$E$1*B1233*86.4/$G$1)</f>
        <v>30.9589111640156</v>
      </c>
      <c r="K1233" s="0" t="n">
        <f aca="false">J1232-J1233</f>
        <v>0.0875912691997165</v>
      </c>
    </row>
    <row r="1234" customFormat="false" ht="12.8" hidden="false" customHeight="false" outlineLevel="0" collapsed="false">
      <c r="A1234" s="0" t="n">
        <v>1</v>
      </c>
      <c r="B1234" s="0" t="n">
        <f aca="false">B1233+A1234</f>
        <v>1231</v>
      </c>
      <c r="C1234" s="0" t="n">
        <f aca="false">$C$3+($G$1/($E$1*86.4))*SINH($E$1*B1234*86.4/$G$1)</f>
        <v>50331.1127268123</v>
      </c>
      <c r="D1234" s="0" t="n">
        <f aca="false">C1234-$C$3-B1234</f>
        <v>4496.11272681227</v>
      </c>
      <c r="E1234" s="0" t="n">
        <f aca="false">$E$1*B1234*86.4</f>
        <v>1043375.904</v>
      </c>
      <c r="F1234" s="0" t="n">
        <f aca="false">$G$1*G1234</f>
        <v>299428.712277856</v>
      </c>
      <c r="G1234" s="0" t="n">
        <f aca="false">TANH($E$1*B1234*86.4/$G$1)</f>
        <v>0.998095707592854</v>
      </c>
      <c r="H1234" s="0" t="n">
        <f aca="false">COSH($E$1*B1234*86.4/$G$1)</f>
        <v>16.2115686118236</v>
      </c>
      <c r="I1234" s="0" t="n">
        <f aca="false">(($G$1^2*1000)/($E$1*$I$1))*(H1234-1)</f>
        <v>14.7509381170547</v>
      </c>
      <c r="J1234" s="0" t="n">
        <f aca="false">$J$3*EXP(-$E$1*B1234*86.4/$G$1)</f>
        <v>30.8715670154202</v>
      </c>
      <c r="K1234" s="0" t="n">
        <f aca="false">J1233-J1234</f>
        <v>0.08734414859547</v>
      </c>
    </row>
    <row r="1235" customFormat="false" ht="12.8" hidden="false" customHeight="false" outlineLevel="0" collapsed="false">
      <c r="A1235" s="0" t="n">
        <v>1</v>
      </c>
      <c r="B1235" s="0" t="n">
        <f aca="false">B1234+A1235</f>
        <v>1232</v>
      </c>
      <c r="C1235" s="0" t="n">
        <f aca="false">$C$3+($G$1/($E$1*86.4))*SINH($E$1*B1235*86.4/$G$1)</f>
        <v>50347.3471745065</v>
      </c>
      <c r="D1235" s="0" t="n">
        <f aca="false">C1235-$C$3-B1235</f>
        <v>4511.34717450653</v>
      </c>
      <c r="E1235" s="0" t="n">
        <f aca="false">$E$1*B1235*86.4</f>
        <v>1044223.488</v>
      </c>
      <c r="F1235" s="0" t="n">
        <f aca="false">$G$1*G1235</f>
        <v>299431.92822259</v>
      </c>
      <c r="G1235" s="0" t="n">
        <f aca="false">TANH($E$1*B1235*86.4/$G$1)</f>
        <v>0.998106427408632</v>
      </c>
      <c r="H1235" s="0" t="n">
        <f aca="false">COSH($E$1*B1235*86.4/$G$1)</f>
        <v>16.25734837448</v>
      </c>
      <c r="I1235" s="0" t="n">
        <f aca="false">(($G$1^2*1000)/($E$1*$I$1))*(H1235-1)</f>
        <v>14.7953315956756</v>
      </c>
      <c r="J1235" s="0" t="n">
        <f aca="false">$J$3*EXP(-$E$1*B1235*86.4/$G$1)</f>
        <v>30.7844692902294</v>
      </c>
      <c r="K1235" s="0" t="n">
        <f aca="false">J1234-J1235</f>
        <v>0.0870977251908194</v>
      </c>
    </row>
    <row r="1236" customFormat="false" ht="12.8" hidden="false" customHeight="false" outlineLevel="0" collapsed="false">
      <c r="A1236" s="0" t="n">
        <v>1</v>
      </c>
      <c r="B1236" s="0" t="n">
        <f aca="false">B1235+A1236</f>
        <v>1233</v>
      </c>
      <c r="C1236" s="0" t="n">
        <f aca="false">$C$3+($G$1/($E$1*86.4))*SINH($E$1*B1236*86.4/$G$1)</f>
        <v>50363.6274668178</v>
      </c>
      <c r="D1236" s="0" t="n">
        <f aca="false">C1236-$C$3-B1236</f>
        <v>4526.62746681775</v>
      </c>
      <c r="E1236" s="0" t="n">
        <f aca="false">$E$1*B1236*86.4</f>
        <v>1045071.072</v>
      </c>
      <c r="F1236" s="0" t="n">
        <f aca="false">$G$1*G1236</f>
        <v>299435.126080895</v>
      </c>
      <c r="G1236" s="0" t="n">
        <f aca="false">TANH($E$1*B1236*86.4/$G$1)</f>
        <v>0.998117086936316</v>
      </c>
      <c r="H1236" s="0" t="n">
        <f aca="false">COSH($E$1*B1236*86.4/$G$1)</f>
        <v>16.3032579067441</v>
      </c>
      <c r="I1236" s="0" t="n">
        <f aca="false">(($G$1^2*1000)/($E$1*$I$1))*(H1236-1)</f>
        <v>14.8398509142739</v>
      </c>
      <c r="J1236" s="0" t="n">
        <f aca="false">$J$3*EXP(-$E$1*B1236*86.4/$G$1)</f>
        <v>30.6976172932107</v>
      </c>
      <c r="K1236" s="0" t="n">
        <f aca="false">J1235-J1236</f>
        <v>0.086851997018691</v>
      </c>
    </row>
    <row r="1237" customFormat="false" ht="12.8" hidden="false" customHeight="false" outlineLevel="0" collapsed="false">
      <c r="A1237" s="0" t="n">
        <v>1</v>
      </c>
      <c r="B1237" s="0" t="n">
        <f aca="false">B1236+A1237</f>
        <v>1234</v>
      </c>
      <c r="C1237" s="0" t="n">
        <f aca="false">$C$3+($G$1/($E$1*86.4))*SINH($E$1*B1237*86.4/$G$1)</f>
        <v>50379.9537336987</v>
      </c>
      <c r="D1237" s="0" t="n">
        <f aca="false">C1237-$C$3-B1237</f>
        <v>4541.95373369869</v>
      </c>
      <c r="E1237" s="0" t="n">
        <f aca="false">$E$1*B1237*86.4</f>
        <v>1045918.656</v>
      </c>
      <c r="F1237" s="0" t="n">
        <f aca="false">$G$1*G1237</f>
        <v>299438.305954298</v>
      </c>
      <c r="G1237" s="0" t="n">
        <f aca="false">TANH($E$1*B1237*86.4/$G$1)</f>
        <v>0.998127686514327</v>
      </c>
      <c r="H1237" s="0" t="n">
        <f aca="false">COSH($E$1*B1237*86.4/$G$1)</f>
        <v>16.3492975750753</v>
      </c>
      <c r="I1237" s="0" t="n">
        <f aca="false">(($G$1^2*1000)/($E$1*$I$1))*(H1237-1)</f>
        <v>14.8844964282123</v>
      </c>
      <c r="J1237" s="0" t="n">
        <f aca="false">$J$3*EXP(-$E$1*B1237*86.4/$G$1)</f>
        <v>30.611010331093</v>
      </c>
      <c r="K1237" s="0" t="n">
        <f aca="false">J1236-J1237</f>
        <v>0.0866069621176493</v>
      </c>
    </row>
    <row r="1238" customFormat="false" ht="12.8" hidden="false" customHeight="false" outlineLevel="0" collapsed="false">
      <c r="A1238" s="0" t="n">
        <v>1</v>
      </c>
      <c r="B1238" s="0" t="n">
        <f aca="false">B1237+A1238</f>
        <v>1235</v>
      </c>
      <c r="C1238" s="0" t="n">
        <f aca="false">$C$3+($G$1/($E$1*86.4))*SINH($E$1*B1238*86.4/$G$1)</f>
        <v>50396.3261054691</v>
      </c>
      <c r="D1238" s="0" t="n">
        <f aca="false">C1238-$C$3-B1238</f>
        <v>4557.32610546908</v>
      </c>
      <c r="E1238" s="0" t="n">
        <f aca="false">$E$1*B1238*86.4</f>
        <v>1046766.24</v>
      </c>
      <c r="F1238" s="0" t="n">
        <f aca="false">$G$1*G1238</f>
        <v>299441.467943758</v>
      </c>
      <c r="G1238" s="0" t="n">
        <f aca="false">TANH($E$1*B1238*86.4/$G$1)</f>
        <v>0.998138226479193</v>
      </c>
      <c r="H1238" s="0" t="n">
        <f aca="false">COSH($E$1*B1238*86.4/$G$1)</f>
        <v>16.3954677469722</v>
      </c>
      <c r="I1238" s="0" t="n">
        <f aca="false">(($G$1^2*1000)/($E$1*$I$1))*(H1238-1)</f>
        <v>14.9292684938608</v>
      </c>
      <c r="J1238" s="0" t="n">
        <f aca="false">$J$3*EXP(-$E$1*B1238*86.4/$G$1)</f>
        <v>30.5246477125612</v>
      </c>
      <c r="K1238" s="0" t="n">
        <f aca="false">J1237-J1238</f>
        <v>0.0863626185317656</v>
      </c>
    </row>
    <row r="1239" customFormat="false" ht="12.8" hidden="false" customHeight="false" outlineLevel="0" collapsed="false">
      <c r="A1239" s="0" t="n">
        <v>1</v>
      </c>
      <c r="B1239" s="0" t="n">
        <f aca="false">B1238+A1239</f>
        <v>1236</v>
      </c>
      <c r="C1239" s="0" t="n">
        <f aca="false">$C$3+($G$1/($E$1*86.4))*SINH($E$1*B1239*86.4/$G$1)</f>
        <v>50412.7447128167</v>
      </c>
      <c r="D1239" s="0" t="n">
        <f aca="false">C1239-$C$3-B1239</f>
        <v>4572.74471281666</v>
      </c>
      <c r="E1239" s="0" t="n">
        <f aca="false">$E$1*B1239*86.4</f>
        <v>1047613.824</v>
      </c>
      <c r="F1239" s="0" t="n">
        <f aca="false">$G$1*G1239</f>
        <v>299444.612149668</v>
      </c>
      <c r="G1239" s="0" t="n">
        <f aca="false">TANH($E$1*B1239*86.4/$G$1)</f>
        <v>0.99814870716556</v>
      </c>
      <c r="H1239" s="0" t="n">
        <f aca="false">COSH($E$1*B1239*86.4/$G$1)</f>
        <v>16.4417687909749</v>
      </c>
      <c r="I1239" s="0" t="n">
        <f aca="false">(($G$1^2*1000)/($E$1*$I$1))*(H1239-1)</f>
        <v>14.9741674685995</v>
      </c>
      <c r="J1239" s="0" t="n">
        <f aca="false">$J$3*EXP(-$E$1*B1239*86.4/$G$1)</f>
        <v>30.4385287482506</v>
      </c>
      <c r="K1239" s="0" t="n">
        <f aca="false">J1238-J1239</f>
        <v>0.0861189643106464</v>
      </c>
    </row>
    <row r="1240" customFormat="false" ht="12.8" hidden="false" customHeight="false" outlineLevel="0" collapsed="false">
      <c r="A1240" s="0" t="n">
        <v>1</v>
      </c>
      <c r="B1240" s="0" t="n">
        <f aca="false">B1239+A1240</f>
        <v>1237</v>
      </c>
      <c r="C1240" s="0" t="n">
        <f aca="false">$C$3+($G$1/($E$1*86.4))*SINH($E$1*B1240*86.4/$G$1)</f>
        <v>50429.2096867983</v>
      </c>
      <c r="D1240" s="0" t="n">
        <f aca="false">C1240-$C$3-B1240</f>
        <v>4588.20968679825</v>
      </c>
      <c r="E1240" s="0" t="n">
        <f aca="false">$E$1*B1240*86.4</f>
        <v>1048461.408</v>
      </c>
      <c r="F1240" s="0" t="n">
        <f aca="false">$G$1*G1240</f>
        <v>299447.738671861</v>
      </c>
      <c r="G1240" s="0" t="n">
        <f aca="false">TANH($E$1*B1240*86.4/$G$1)</f>
        <v>0.998159128906204</v>
      </c>
      <c r="H1240" s="0" t="n">
        <f aca="false">COSH($E$1*B1240*86.4/$G$1)</f>
        <v>16.4882010766681</v>
      </c>
      <c r="I1240" s="0" t="n">
        <f aca="false">(($G$1^2*1000)/($E$1*$I$1))*(H1240-1)</f>
        <v>15.0191937108215</v>
      </c>
      <c r="J1240" s="0" t="n">
        <f aca="false">$J$3*EXP(-$E$1*B1240*86.4/$G$1)</f>
        <v>30.3526527507412</v>
      </c>
      <c r="K1240" s="0" t="n">
        <f aca="false">J1239-J1240</f>
        <v>0.0858759975094294</v>
      </c>
    </row>
    <row r="1241" customFormat="false" ht="12.8" hidden="false" customHeight="false" outlineLevel="0" collapsed="false">
      <c r="A1241" s="0" t="n">
        <v>1</v>
      </c>
      <c r="B1241" s="0" t="n">
        <f aca="false">B1240+A1241</f>
        <v>1238</v>
      </c>
      <c r="C1241" s="0" t="n">
        <f aca="false">$C$3+($G$1/($E$1*86.4))*SINH($E$1*B1241*86.4/$G$1)</f>
        <v>50445.7211588408</v>
      </c>
      <c r="D1241" s="0" t="n">
        <f aca="false">C1241-$C$3-B1241</f>
        <v>4603.72115884076</v>
      </c>
      <c r="E1241" s="0" t="n">
        <f aca="false">$E$1*B1241*86.4</f>
        <v>1049308.992</v>
      </c>
      <c r="F1241" s="0" t="n">
        <f aca="false">$G$1*G1241</f>
        <v>299450.847609611</v>
      </c>
      <c r="G1241" s="0" t="n">
        <f aca="false">TANH($E$1*B1241*86.4/$G$1)</f>
        <v>0.998169492032037</v>
      </c>
      <c r="H1241" s="0" t="n">
        <f aca="false">COSH($E$1*B1241*86.4/$G$1)</f>
        <v>16.5347649746842</v>
      </c>
      <c r="I1241" s="0" t="n">
        <f aca="false">(($G$1^2*1000)/($E$1*$I$1))*(H1241-1)</f>
        <v>15.064347579936</v>
      </c>
      <c r="J1241" s="0" t="n">
        <f aca="false">$J$3*EXP(-$E$1*B1241*86.4/$G$1)</f>
        <v>30.2670190345526</v>
      </c>
      <c r="K1241" s="0" t="n">
        <f aca="false">J1240-J1241</f>
        <v>0.0856337161886032</v>
      </c>
    </row>
    <row r="1242" customFormat="false" ht="12.8" hidden="false" customHeight="false" outlineLevel="0" collapsed="false">
      <c r="A1242" s="0" t="n">
        <v>1</v>
      </c>
      <c r="B1242" s="0" t="n">
        <f aca="false">B1241+A1242</f>
        <v>1239</v>
      </c>
      <c r="C1242" s="0" t="n">
        <f aca="false">$C$3+($G$1/($E$1*86.4))*SINH($E$1*B1242*86.4/$G$1)</f>
        <v>50462.2792607423</v>
      </c>
      <c r="D1242" s="0" t="n">
        <f aca="false">C1242-$C$3-B1242</f>
        <v>4619.27926074227</v>
      </c>
      <c r="E1242" s="0" t="n">
        <f aca="false">$E$1*B1242*86.4</f>
        <v>1050156.576</v>
      </c>
      <c r="F1242" s="0" t="n">
        <f aca="false">$G$1*G1242</f>
        <v>299453.939061637</v>
      </c>
      <c r="G1242" s="0" t="n">
        <f aca="false">TANH($E$1*B1242*86.4/$G$1)</f>
        <v>0.998179796872124</v>
      </c>
      <c r="H1242" s="0" t="n">
        <f aca="false">COSH($E$1*B1242*86.4/$G$1)</f>
        <v>16.5814608567061</v>
      </c>
      <c r="I1242" s="0" t="n">
        <f aca="false">(($G$1^2*1000)/($E$1*$I$1))*(H1242-1)</f>
        <v>15.1096294363706</v>
      </c>
      <c r="J1242" s="0" t="n">
        <f aca="false">$J$3*EXP(-$E$1*B1242*86.4/$G$1)</f>
        <v>30.1816269161382</v>
      </c>
      <c r="K1242" s="0" t="n">
        <f aca="false">J1241-J1242</f>
        <v>0.0853921184143189</v>
      </c>
    </row>
    <row r="1243" customFormat="false" ht="12.8" hidden="false" customHeight="false" outlineLevel="0" collapsed="false">
      <c r="A1243" s="0" t="n">
        <v>1</v>
      </c>
      <c r="B1243" s="0" t="n">
        <f aca="false">B1242+A1243</f>
        <v>1240</v>
      </c>
      <c r="C1243" s="0" t="n">
        <f aca="false">$C$3+($G$1/($E$1*86.4))*SINH($E$1*B1243*86.4/$G$1)</f>
        <v>50478.8841246731</v>
      </c>
      <c r="D1243" s="0" t="n">
        <f aca="false">C1243-$C$3-B1243</f>
        <v>4634.88412467307</v>
      </c>
      <c r="E1243" s="0" t="n">
        <f aca="false">$E$1*B1243*86.4</f>
        <v>1051004.16</v>
      </c>
      <c r="F1243" s="0" t="n">
        <f aca="false">$G$1*G1243</f>
        <v>299457.013126106</v>
      </c>
      <c r="G1243" s="0" t="n">
        <f aca="false">TANH($E$1*B1243*86.4/$G$1)</f>
        <v>0.998190043753685</v>
      </c>
      <c r="H1243" s="0" t="n">
        <f aca="false">COSH($E$1*B1243*86.4/$G$1)</f>
        <v>16.6282890954702</v>
      </c>
      <c r="I1243" s="0" t="n">
        <f aca="false">(($G$1^2*1000)/($E$1*$I$1))*(H1243-1)</f>
        <v>15.1550396415748</v>
      </c>
      <c r="J1243" s="0" t="n">
        <f aca="false">$J$3*EXP(-$E$1*B1243*86.4/$G$1)</f>
        <v>30.0964757138802</v>
      </c>
      <c r="K1243" s="0" t="n">
        <f aca="false">J1242-J1243</f>
        <v>0.0851512022580714</v>
      </c>
    </row>
    <row r="1244" customFormat="false" ht="12.8" hidden="false" customHeight="false" outlineLevel="0" collapsed="false">
      <c r="A1244" s="0" t="n">
        <v>1</v>
      </c>
      <c r="B1244" s="0" t="n">
        <f aca="false">B1243+A1244</f>
        <v>1241</v>
      </c>
      <c r="C1244" s="0" t="n">
        <f aca="false">$C$3+($G$1/($E$1*86.4))*SINH($E$1*B1244*86.4/$G$1)</f>
        <v>50495.5358831767</v>
      </c>
      <c r="D1244" s="0" t="n">
        <f aca="false">C1244-$C$3-B1244</f>
        <v>4650.53588317672</v>
      </c>
      <c r="E1244" s="0" t="n">
        <f aca="false">$E$1*B1244*86.4</f>
        <v>1051851.744</v>
      </c>
      <c r="F1244" s="0" t="n">
        <f aca="false">$G$1*G1244</f>
        <v>299460.069900634</v>
      </c>
      <c r="G1244" s="0" t="n">
        <f aca="false">TANH($E$1*B1244*86.4/$G$1)</f>
        <v>0.998200233002113</v>
      </c>
      <c r="H1244" s="0" t="n">
        <f aca="false">COSH($E$1*B1244*86.4/$G$1)</f>
        <v>16.6752500647696</v>
      </c>
      <c r="I1244" s="0" t="n">
        <f aca="false">(($G$1^2*1000)/($E$1*$I$1))*(H1244-1)</f>
        <v>15.2005785580225</v>
      </c>
      <c r="J1244" s="0" t="n">
        <f aca="false">$J$3*EXP(-$E$1*B1244*86.4/$G$1)</f>
        <v>30.0115647480834</v>
      </c>
      <c r="K1244" s="0" t="n">
        <f aca="false">J1243-J1244</f>
        <v>0.0849109657967908</v>
      </c>
    </row>
    <row r="1245" customFormat="false" ht="12.8" hidden="false" customHeight="false" outlineLevel="0" collapsed="false">
      <c r="A1245" s="0" t="n">
        <v>1</v>
      </c>
      <c r="B1245" s="0" t="n">
        <f aca="false">B1244+A1245</f>
        <v>1242</v>
      </c>
      <c r="C1245" s="0" t="n">
        <f aca="false">$C$3+($G$1/($E$1*86.4))*SINH($E$1*B1245*86.4/$G$1)</f>
        <v>50512.2346691711</v>
      </c>
      <c r="D1245" s="0" t="n">
        <f aca="false">C1245-$C$3-B1245</f>
        <v>4666.23466917106</v>
      </c>
      <c r="E1245" s="0" t="n">
        <f aca="false">$E$1*B1245*86.4</f>
        <v>1052699.328</v>
      </c>
      <c r="F1245" s="0" t="n">
        <f aca="false">$G$1*G1245</f>
        <v>299463.109482294</v>
      </c>
      <c r="G1245" s="0" t="n">
        <f aca="false">TANH($E$1*B1245*86.4/$G$1)</f>
        <v>0.99821036494098</v>
      </c>
      <c r="H1245" s="0" t="n">
        <f aca="false">COSH($E$1*B1245*86.4/$G$1)</f>
        <v>16.7223441394566</v>
      </c>
      <c r="I1245" s="0" t="n">
        <f aca="false">(($G$1^2*1000)/($E$1*$I$1))*(H1245-1)</f>
        <v>15.246246549215</v>
      </c>
      <c r="J1245" s="0" t="n">
        <f aca="false">$J$3*EXP(-$E$1*B1245*86.4/$G$1)</f>
        <v>29.9268933409705</v>
      </c>
      <c r="K1245" s="0" t="n">
        <f aca="false">J1244-J1245</f>
        <v>0.0846714071128751</v>
      </c>
    </row>
    <row r="1246" customFormat="false" ht="12.8" hidden="false" customHeight="false" outlineLevel="0" collapsed="false">
      <c r="A1246" s="0" t="n">
        <v>1</v>
      </c>
      <c r="B1246" s="0" t="n">
        <f aca="false">B1245+A1246</f>
        <v>1243</v>
      </c>
      <c r="C1246" s="0" t="n">
        <f aca="false">$C$3+($G$1/($E$1*86.4))*SINH($E$1*B1246*86.4/$G$1)</f>
        <v>50528.9806159494</v>
      </c>
      <c r="D1246" s="0" t="n">
        <f aca="false">C1246-$C$3-B1246</f>
        <v>4681.98061594938</v>
      </c>
      <c r="E1246" s="0" t="n">
        <f aca="false">$E$1*B1246*86.4</f>
        <v>1053546.912</v>
      </c>
      <c r="F1246" s="0" t="n">
        <f aca="false">$G$1*G1246</f>
        <v>299466.131967614</v>
      </c>
      <c r="G1246" s="0" t="n">
        <f aca="false">TANH($E$1*B1246*86.4/$G$1)</f>
        <v>0.998220439892047</v>
      </c>
      <c r="H1246" s="0" t="n">
        <f aca="false">COSH($E$1*B1246*86.4/$G$1)</f>
        <v>16.7695716954461</v>
      </c>
      <c r="I1246" s="0" t="n">
        <f aca="false">(($G$1^2*1000)/($E$1*$I$1))*(H1246-1)</f>
        <v>15.2920439796838</v>
      </c>
      <c r="J1246" s="0" t="n">
        <f aca="false">$J$3*EXP(-$E$1*B1246*86.4/$G$1)</f>
        <v>29.8424608166764</v>
      </c>
      <c r="K1246" s="0" t="n">
        <f aca="false">J1245-J1246</f>
        <v>0.0844325242940869</v>
      </c>
    </row>
    <row r="1247" customFormat="false" ht="12.8" hidden="false" customHeight="false" outlineLevel="0" collapsed="false">
      <c r="A1247" s="0" t="n">
        <v>1</v>
      </c>
      <c r="B1247" s="0" t="n">
        <f aca="false">B1246+A1247</f>
        <v>1244</v>
      </c>
      <c r="C1247" s="0" t="n">
        <f aca="false">$C$3+($G$1/($E$1*86.4))*SINH($E$1*B1247*86.4/$G$1)</f>
        <v>50545.7738571814</v>
      </c>
      <c r="D1247" s="0" t="n">
        <f aca="false">C1247-$C$3-B1247</f>
        <v>4697.77385718138</v>
      </c>
      <c r="E1247" s="0" t="n">
        <f aca="false">$E$1*B1247*86.4</f>
        <v>1054394.496</v>
      </c>
      <c r="F1247" s="0" t="n">
        <f aca="false">$G$1*G1247</f>
        <v>299469.137452583</v>
      </c>
      <c r="G1247" s="0" t="n">
        <f aca="false">TANH($E$1*B1247*86.4/$G$1)</f>
        <v>0.998230458175275</v>
      </c>
      <c r="H1247" s="0" t="n">
        <f aca="false">COSH($E$1*B1247*86.4/$G$1)</f>
        <v>16.8169331097186</v>
      </c>
      <c r="I1247" s="0" t="n">
        <f aca="false">(($G$1^2*1000)/($E$1*$I$1))*(H1247-1)</f>
        <v>15.3379712149938</v>
      </c>
      <c r="J1247" s="0" t="n">
        <f aca="false">$J$3*EXP(-$E$1*B1247*86.4/$G$1)</f>
        <v>29.7582665012427</v>
      </c>
      <c r="K1247" s="0" t="n">
        <f aca="false">J1246-J1247</f>
        <v>0.0841943154337166</v>
      </c>
    </row>
    <row r="1248" customFormat="false" ht="12.8" hidden="false" customHeight="false" outlineLevel="0" collapsed="false">
      <c r="A1248" s="0" t="n">
        <v>1</v>
      </c>
      <c r="B1248" s="0" t="n">
        <f aca="false">B1247+A1248</f>
        <v>1245</v>
      </c>
      <c r="C1248" s="0" t="n">
        <f aca="false">$C$3+($G$1/($E$1*86.4))*SINH($E$1*B1248*86.4/$G$1)</f>
        <v>50562.6145269143</v>
      </c>
      <c r="D1248" s="0" t="n">
        <f aca="false">C1248-$C$3-B1248</f>
        <v>4713.61452691425</v>
      </c>
      <c r="E1248" s="0" t="n">
        <f aca="false">$E$1*B1248*86.4</f>
        <v>1055242.08</v>
      </c>
      <c r="F1248" s="0" t="n">
        <f aca="false">$G$1*G1248</f>
        <v>299472.126032651</v>
      </c>
      <c r="G1248" s="0" t="n">
        <f aca="false">TANH($E$1*B1248*86.4/$G$1)</f>
        <v>0.998240420108837</v>
      </c>
      <c r="H1248" s="0" t="n">
        <f aca="false">COSH($E$1*B1248*86.4/$G$1)</f>
        <v>16.8644287603229</v>
      </c>
      <c r="I1248" s="0" t="n">
        <f aca="false">(($G$1^2*1000)/($E$1*$I$1))*(H1248-1)</f>
        <v>15.3840286217459</v>
      </c>
      <c r="J1248" s="0" t="n">
        <f aca="false">$J$3*EXP(-$E$1*B1248*86.4/$G$1)</f>
        <v>29.6743097226126</v>
      </c>
      <c r="K1248" s="0" t="n">
        <f aca="false">J1247-J1248</f>
        <v>0.0839567786301529</v>
      </c>
    </row>
    <row r="1249" customFormat="false" ht="12.8" hidden="false" customHeight="false" outlineLevel="0" collapsed="false">
      <c r="A1249" s="0" t="n">
        <v>1</v>
      </c>
      <c r="B1249" s="0" t="n">
        <f aca="false">B1248+A1249</f>
        <v>1246</v>
      </c>
      <c r="C1249" s="0" t="n">
        <f aca="false">$C$3+($G$1/($E$1*86.4))*SINH($E$1*B1249*86.4/$G$1)</f>
        <v>50579.5027595738</v>
      </c>
      <c r="D1249" s="0" t="n">
        <f aca="false">C1249-$C$3-B1249</f>
        <v>4729.50275957382</v>
      </c>
      <c r="E1249" s="0" t="n">
        <f aca="false">$E$1*B1249*86.4</f>
        <v>1056089.664</v>
      </c>
      <c r="F1249" s="0" t="n">
        <f aca="false">$G$1*G1249</f>
        <v>299475.097802737</v>
      </c>
      <c r="G1249" s="0" t="n">
        <f aca="false">TANH($E$1*B1249*86.4/$G$1)</f>
        <v>0.998250326009123</v>
      </c>
      <c r="H1249" s="0" t="n">
        <f aca="false">COSH($E$1*B1249*86.4/$G$1)</f>
        <v>16.9120590263794</v>
      </c>
      <c r="I1249" s="0" t="n">
        <f aca="false">(($G$1^2*1000)/($E$1*$I$1))*(H1249-1)</f>
        <v>15.4302165675802</v>
      </c>
      <c r="J1249" s="0" t="n">
        <f aca="false">$J$3*EXP(-$E$1*B1249*86.4/$G$1)</f>
        <v>29.590589810625</v>
      </c>
      <c r="K1249" s="0" t="n">
        <f aca="false">J1248-J1249</f>
        <v>0.0837199119875045</v>
      </c>
    </row>
    <row r="1250" customFormat="false" ht="12.8" hidden="false" customHeight="false" outlineLevel="0" collapsed="false">
      <c r="A1250" s="0" t="n">
        <v>1</v>
      </c>
      <c r="B1250" s="0" t="n">
        <f aca="false">B1249+A1250</f>
        <v>1247</v>
      </c>
      <c r="C1250" s="0" t="n">
        <f aca="false">$C$3+($G$1/($E$1*86.4))*SINH($E$1*B1250*86.4/$G$1)</f>
        <v>50596.4386899656</v>
      </c>
      <c r="D1250" s="0" t="n">
        <f aca="false">C1250-$C$3-B1250</f>
        <v>4745.43868996555</v>
      </c>
      <c r="E1250" s="0" t="n">
        <f aca="false">$E$1*B1250*86.4</f>
        <v>1056937.248</v>
      </c>
      <c r="F1250" s="0" t="n">
        <f aca="false">$G$1*G1250</f>
        <v>299478.052857227</v>
      </c>
      <c r="G1250" s="0" t="n">
        <f aca="false">TANH($E$1*B1250*86.4/$G$1)</f>
        <v>0.998260176190756</v>
      </c>
      <c r="H1250" s="0" t="n">
        <f aca="false">COSH($E$1*B1250*86.4/$G$1)</f>
        <v>16.9598242880829</v>
      </c>
      <c r="I1250" s="0" t="n">
        <f aca="false">(($G$1^2*1000)/($E$1*$I$1))*(H1250-1)</f>
        <v>15.4765354211786</v>
      </c>
      <c r="J1250" s="0" t="n">
        <f aca="false">$J$3*EXP(-$E$1*B1250*86.4/$G$1)</f>
        <v>29.5071060970101</v>
      </c>
      <c r="K1250" s="0" t="n">
        <f aca="false">J1249-J1250</f>
        <v>0.0834837136149531</v>
      </c>
    </row>
    <row r="1251" customFormat="false" ht="12.8" hidden="false" customHeight="false" outlineLevel="0" collapsed="false">
      <c r="A1251" s="0" t="n">
        <v>1</v>
      </c>
      <c r="B1251" s="0" t="n">
        <f aca="false">B1250+A1251</f>
        <v>1248</v>
      </c>
      <c r="C1251" s="0" t="n">
        <f aca="false">$C$3+($G$1/($E$1*86.4))*SINH($E$1*B1251*86.4/$G$1)</f>
        <v>50613.4224532756</v>
      </c>
      <c r="D1251" s="0" t="n">
        <f aca="false">C1251-$C$3-B1251</f>
        <v>4761.42245327562</v>
      </c>
      <c r="E1251" s="0" t="n">
        <f aca="false">$E$1*B1251*86.4</f>
        <v>1057784.832</v>
      </c>
      <c r="F1251" s="0" t="n">
        <f aca="false">$G$1*G1251</f>
        <v>299480.991289978</v>
      </c>
      <c r="G1251" s="0" t="n">
        <f aca="false">TANH($E$1*B1251*86.4/$G$1)</f>
        <v>0.998269970966594</v>
      </c>
      <c r="H1251" s="0" t="n">
        <f aca="false">COSH($E$1*B1251*86.4/$G$1)</f>
        <v>17.0077249267059</v>
      </c>
      <c r="I1251" s="0" t="n">
        <f aca="false">(($G$1^2*1000)/($E$1*$I$1))*(H1251-1)</f>
        <v>15.5229855522681</v>
      </c>
      <c r="J1251" s="0" t="n">
        <f aca="false">$J$3*EXP(-$E$1*B1251*86.4/$G$1)</f>
        <v>29.423857915383</v>
      </c>
      <c r="K1251" s="0" t="n">
        <f aca="false">J1250-J1251</f>
        <v>0.0832481816271269</v>
      </c>
    </row>
    <row r="1252" customFormat="false" ht="12.8" hidden="false" customHeight="false" outlineLevel="0" collapsed="false">
      <c r="A1252" s="0" t="n">
        <v>1</v>
      </c>
      <c r="B1252" s="0" t="n">
        <f aca="false">B1251+A1252</f>
        <v>1249</v>
      </c>
      <c r="C1252" s="0" t="n">
        <f aca="false">$C$3+($G$1/($E$1*86.4))*SINH($E$1*B1252*86.4/$G$1)</f>
        <v>50630.454185072</v>
      </c>
      <c r="D1252" s="0" t="n">
        <f aca="false">C1252-$C$3-B1252</f>
        <v>4777.45418507204</v>
      </c>
      <c r="E1252" s="0" t="n">
        <f aca="false">$E$1*B1252*86.4</f>
        <v>1058632.416</v>
      </c>
      <c r="F1252" s="0" t="n">
        <f aca="false">$G$1*G1252</f>
        <v>299483.913194325</v>
      </c>
      <c r="G1252" s="0" t="n">
        <f aca="false">TANH($E$1*B1252*86.4/$G$1)</f>
        <v>0.99827971064775</v>
      </c>
      <c r="H1252" s="0" t="n">
        <f aca="false">COSH($E$1*B1252*86.4/$G$1)</f>
        <v>17.0557613246016</v>
      </c>
      <c r="I1252" s="0" t="n">
        <f aca="false">(($G$1^2*1000)/($E$1*$I$1))*(H1252-1)</f>
        <v>15.5695673316235</v>
      </c>
      <c r="J1252" s="0" t="n">
        <f aca="false">$J$3*EXP(-$E$1*B1252*86.4/$G$1)</f>
        <v>29.340844601239</v>
      </c>
      <c r="K1252" s="0" t="n">
        <f aca="false">J1251-J1252</f>
        <v>0.0830133141439653</v>
      </c>
    </row>
    <row r="1253" customFormat="false" ht="12.8" hidden="false" customHeight="false" outlineLevel="0" collapsed="false">
      <c r="A1253" s="0" t="n">
        <v>1</v>
      </c>
      <c r="B1253" s="0" t="n">
        <f aca="false">B1252+A1253</f>
        <v>1250</v>
      </c>
      <c r="C1253" s="0" t="n">
        <f aca="false">$C$3+($G$1/($E$1*86.4))*SINH($E$1*B1253*86.4/$G$1)</f>
        <v>50647.5340213057</v>
      </c>
      <c r="D1253" s="0" t="n">
        <f aca="false">C1253-$C$3-B1253</f>
        <v>4793.53402130571</v>
      </c>
      <c r="E1253" s="0" t="n">
        <f aca="false">$E$1*B1253*86.4</f>
        <v>1059480</v>
      </c>
      <c r="F1253" s="0" t="n">
        <f aca="false">$G$1*G1253</f>
        <v>299486.818663077</v>
      </c>
      <c r="G1253" s="0" t="n">
        <f aca="false">TANH($E$1*B1253*86.4/$G$1)</f>
        <v>0.998289395543591</v>
      </c>
      <c r="H1253" s="0" t="n">
        <f aca="false">COSH($E$1*B1253*86.4/$G$1)</f>
        <v>17.1039338652065</v>
      </c>
      <c r="I1253" s="0" t="n">
        <f aca="false">(($G$1^2*1000)/($E$1*$I$1))*(H1253-1)</f>
        <v>15.6162811310704</v>
      </c>
      <c r="J1253" s="0" t="n">
        <f aca="false">$J$3*EXP(-$E$1*B1253*86.4/$G$1)</f>
        <v>29.2580654919483</v>
      </c>
      <c r="K1253" s="0" t="n">
        <f aca="false">J1252-J1253</f>
        <v>0.0827791092906978</v>
      </c>
    </row>
    <row r="1254" customFormat="false" ht="12.8" hidden="false" customHeight="false" outlineLevel="0" collapsed="false">
      <c r="A1254" s="0" t="n">
        <v>1</v>
      </c>
      <c r="B1254" s="0" t="n">
        <f aca="false">B1253+A1254</f>
        <v>1251</v>
      </c>
      <c r="C1254" s="0" t="n">
        <f aca="false">$C$3+($G$1/($E$1*86.4))*SINH($E$1*B1254*86.4/$G$1)</f>
        <v>50664.6620983115</v>
      </c>
      <c r="D1254" s="0" t="n">
        <f aca="false">C1254-$C$3-B1254</f>
        <v>4809.66209831152</v>
      </c>
      <c r="E1254" s="0" t="n">
        <f aca="false">$E$1*B1254*86.4</f>
        <v>1060327.584</v>
      </c>
      <c r="F1254" s="0" t="n">
        <f aca="false">$G$1*G1254</f>
        <v>299489.707788527</v>
      </c>
      <c r="G1254" s="0" t="n">
        <f aca="false">TANH($E$1*B1254*86.4/$G$1)</f>
        <v>0.998299025961757</v>
      </c>
      <c r="H1254" s="0" t="n">
        <f aca="false">COSH($E$1*B1254*86.4/$G$1)</f>
        <v>17.1522429330443</v>
      </c>
      <c r="I1254" s="0" t="n">
        <f aca="false">(($G$1^2*1000)/($E$1*$I$1))*(H1254-1)</f>
        <v>15.6631273234883</v>
      </c>
      <c r="J1254" s="0" t="n">
        <f aca="false">$J$3*EXP(-$E$1*B1254*86.4/$G$1)</f>
        <v>29.1755199267504</v>
      </c>
      <c r="K1254" s="0" t="n">
        <f aca="false">J1253-J1254</f>
        <v>0.0825455651979112</v>
      </c>
    </row>
    <row r="1255" customFormat="false" ht="12.8" hidden="false" customHeight="false" outlineLevel="0" collapsed="false">
      <c r="A1255" s="0" t="n">
        <v>1</v>
      </c>
      <c r="B1255" s="0" t="n">
        <f aca="false">B1254+A1255</f>
        <v>1252</v>
      </c>
      <c r="C1255" s="0" t="n">
        <f aca="false">$C$3+($G$1/($E$1*86.4))*SINH($E$1*B1255*86.4/$G$1)</f>
        <v>50681.8385528094</v>
      </c>
      <c r="D1255" s="0" t="n">
        <f aca="false">C1255-$C$3-B1255</f>
        <v>4825.8385528094</v>
      </c>
      <c r="E1255" s="0" t="n">
        <f aca="false">$E$1*B1255*86.4</f>
        <v>1061175.168</v>
      </c>
      <c r="F1255" s="0" t="n">
        <f aca="false">$G$1*G1255</f>
        <v>299492.580662449</v>
      </c>
      <c r="G1255" s="0" t="n">
        <f aca="false">TANH($E$1*B1255*86.4/$G$1)</f>
        <v>0.998308602208163</v>
      </c>
      <c r="H1255" s="0" t="n">
        <f aca="false">COSH($E$1*B1255*86.4/$G$1)</f>
        <v>17.2006889137281</v>
      </c>
      <c r="I1255" s="0" t="n">
        <f aca="false">(($G$1^2*1000)/($E$1*$I$1))*(H1255-1)</f>
        <v>15.7101062828134</v>
      </c>
      <c r="J1255" s="0" t="n">
        <f aca="false">$J$3*EXP(-$E$1*B1255*86.4/$G$1)</f>
        <v>29.0932072467491</v>
      </c>
      <c r="K1255" s="0" t="n">
        <f aca="false">J1254-J1255</f>
        <v>0.0823126800013014</v>
      </c>
    </row>
    <row r="1256" customFormat="false" ht="12.8" hidden="false" customHeight="false" outlineLevel="0" collapsed="false">
      <c r="A1256" s="0" t="n">
        <v>1</v>
      </c>
      <c r="B1256" s="0" t="n">
        <f aca="false">B1255+A1256</f>
        <v>1253</v>
      </c>
      <c r="C1256" s="0" t="n">
        <f aca="false">$C$3+($G$1/($E$1*86.4))*SINH($E$1*B1256*86.4/$G$1)</f>
        <v>50699.0635219055</v>
      </c>
      <c r="D1256" s="0" t="n">
        <f aca="false">C1256-$C$3-B1256</f>
        <v>4842.06352190548</v>
      </c>
      <c r="E1256" s="0" t="n">
        <f aca="false">$E$1*B1256*86.4</f>
        <v>1062022.752</v>
      </c>
      <c r="F1256" s="0" t="n">
        <f aca="false">$G$1*G1256</f>
        <v>299495.437376105</v>
      </c>
      <c r="G1256" s="0" t="n">
        <f aca="false">TANH($E$1*B1256*86.4/$G$1)</f>
        <v>0.998318124587015</v>
      </c>
      <c r="H1256" s="0" t="n">
        <f aca="false">COSH($E$1*B1256*86.4/$G$1)</f>
        <v>17.249272193964</v>
      </c>
      <c r="I1256" s="0" t="n">
        <f aca="false">(($G$1^2*1000)/($E$1*$I$1))*(H1256-1)</f>
        <v>15.7572183840419</v>
      </c>
      <c r="J1256" s="0" t="n">
        <f aca="false">$J$3*EXP(-$E$1*B1256*86.4/$G$1)</f>
        <v>29.0111267949071</v>
      </c>
      <c r="K1256" s="0" t="n">
        <f aca="false">J1255-J1256</f>
        <v>0.0820804518420175</v>
      </c>
    </row>
    <row r="1257" customFormat="false" ht="12.8" hidden="false" customHeight="false" outlineLevel="0" collapsed="false">
      <c r="A1257" s="0" t="n">
        <v>1</v>
      </c>
      <c r="B1257" s="0" t="n">
        <f aca="false">B1256+A1257</f>
        <v>1254</v>
      </c>
      <c r="C1257" s="0" t="n">
        <f aca="false">$C$3+($G$1/($E$1*86.4))*SINH($E$1*B1257*86.4/$G$1)</f>
        <v>50716.3371430931</v>
      </c>
      <c r="D1257" s="0" t="n">
        <f aca="false">C1257-$C$3-B1257</f>
        <v>4858.3371430931</v>
      </c>
      <c r="E1257" s="0" t="n">
        <f aca="false">$E$1*B1257*86.4</f>
        <v>1062870.336</v>
      </c>
      <c r="F1257" s="0" t="n">
        <f aca="false">$G$1*G1257</f>
        <v>299498.278020245</v>
      </c>
      <c r="G1257" s="0" t="n">
        <f aca="false">TANH($E$1*B1257*86.4/$G$1)</f>
        <v>0.998327593400815</v>
      </c>
      <c r="H1257" s="0" t="n">
        <f aca="false">COSH($E$1*B1257*86.4/$G$1)</f>
        <v>17.2979931615541</v>
      </c>
      <c r="I1257" s="0" t="n">
        <f aca="false">(($G$1^2*1000)/($E$1*$I$1))*(H1257-1)</f>
        <v>15.8044640032324</v>
      </c>
      <c r="J1257" s="0" t="n">
        <f aca="false">$J$3*EXP(-$E$1*B1257*86.4/$G$1)</f>
        <v>28.9292779160408</v>
      </c>
      <c r="K1257" s="0" t="n">
        <f aca="false">J1256-J1257</f>
        <v>0.0818488788663139</v>
      </c>
    </row>
    <row r="1258" customFormat="false" ht="12.8" hidden="false" customHeight="false" outlineLevel="0" collapsed="false">
      <c r="A1258" s="0" t="n">
        <v>1</v>
      </c>
      <c r="B1258" s="0" t="n">
        <f aca="false">B1257+A1258</f>
        <v>1255</v>
      </c>
      <c r="C1258" s="0" t="n">
        <f aca="false">$C$3+($G$1/($E$1*86.4))*SINH($E$1*B1258*86.4/$G$1)</f>
        <v>50733.659554254</v>
      </c>
      <c r="D1258" s="0" t="n">
        <f aca="false">C1258-$C$3-B1258</f>
        <v>4874.65955425399</v>
      </c>
      <c r="E1258" s="0" t="n">
        <f aca="false">$E$1*B1258*86.4</f>
        <v>1063717.92</v>
      </c>
      <c r="F1258" s="0" t="n">
        <f aca="false">$G$1*G1258</f>
        <v>299501.102685111</v>
      </c>
      <c r="G1258" s="0" t="n">
        <f aca="false">TANH($E$1*B1258*86.4/$G$1)</f>
        <v>0.998337008950371</v>
      </c>
      <c r="H1258" s="0" t="n">
        <f aca="false">COSH($E$1*B1258*86.4/$G$1)</f>
        <v>17.3468522053995</v>
      </c>
      <c r="I1258" s="0" t="n">
        <f aca="false">(($G$1^2*1000)/($E$1*$I$1))*(H1258-1)</f>
        <v>15.8518435175096</v>
      </c>
      <c r="J1258" s="0" t="n">
        <f aca="false">$J$3*EXP(-$E$1*B1258*86.4/$G$1)</f>
        <v>28.847659956815</v>
      </c>
      <c r="K1258" s="0" t="n">
        <f aca="false">J1257-J1258</f>
        <v>0.0816179592257669</v>
      </c>
    </row>
    <row r="1259" customFormat="false" ht="12.8" hidden="false" customHeight="false" outlineLevel="0" collapsed="false">
      <c r="A1259" s="0" t="n">
        <v>1</v>
      </c>
      <c r="B1259" s="0" t="n">
        <f aca="false">B1258+A1259</f>
        <v>1256</v>
      </c>
      <c r="C1259" s="0" t="n">
        <f aca="false">$C$3+($G$1/($E$1*86.4))*SINH($E$1*B1259*86.4/$G$1)</f>
        <v>50751.0308936593</v>
      </c>
      <c r="D1259" s="0" t="n">
        <f aca="false">C1259-$C$3-B1259</f>
        <v>4891.03089365931</v>
      </c>
      <c r="E1259" s="0" t="n">
        <f aca="false">$E$1*B1259*86.4</f>
        <v>1064565.504</v>
      </c>
      <c r="F1259" s="0" t="n">
        <f aca="false">$G$1*G1259</f>
        <v>299503.911460443</v>
      </c>
      <c r="G1259" s="0" t="n">
        <f aca="false">TANH($E$1*B1259*86.4/$G$1)</f>
        <v>0.998346371534809</v>
      </c>
      <c r="H1259" s="0" t="n">
        <f aca="false">COSH($E$1*B1259*86.4/$G$1)</f>
        <v>17.3958497155035</v>
      </c>
      <c r="I1259" s="0" t="n">
        <f aca="false">(($G$1^2*1000)/($E$1*$I$1))*(H1259-1)</f>
        <v>15.8993573050667</v>
      </c>
      <c r="J1259" s="0" t="n">
        <f aca="false">$J$3*EXP(-$E$1*B1259*86.4/$G$1)</f>
        <v>28.7662722657379</v>
      </c>
      <c r="K1259" s="0" t="n">
        <f aca="false">J1258-J1259</f>
        <v>0.0813876910770972</v>
      </c>
    </row>
    <row r="1260" customFormat="false" ht="12.8" hidden="false" customHeight="false" outlineLevel="0" collapsed="false">
      <c r="A1260" s="0" t="n">
        <v>1</v>
      </c>
      <c r="B1260" s="0" t="n">
        <f aca="false">B1259+A1260</f>
        <v>1257</v>
      </c>
      <c r="C1260" s="0" t="n">
        <f aca="false">$C$3+($G$1/($E$1*86.4))*SINH($E$1*B1260*86.4/$G$1)</f>
        <v>50768.4512999708</v>
      </c>
      <c r="D1260" s="0" t="n">
        <f aca="false">C1260-$C$3-B1260</f>
        <v>4907.45129997077</v>
      </c>
      <c r="E1260" s="0" t="n">
        <f aca="false">$E$1*B1260*86.4</f>
        <v>1065413.088</v>
      </c>
      <c r="F1260" s="0" t="n">
        <f aca="false">$G$1*G1260</f>
        <v>299506.704435474</v>
      </c>
      <c r="G1260" s="0" t="n">
        <f aca="false">TANH($E$1*B1260*86.4/$G$1)</f>
        <v>0.998355681451581</v>
      </c>
      <c r="H1260" s="0" t="n">
        <f aca="false">COSH($E$1*B1260*86.4/$G$1)</f>
        <v>17.4449860829746</v>
      </c>
      <c r="I1260" s="0" t="n">
        <f aca="false">(($G$1^2*1000)/($E$1*$I$1))*(H1260-1)</f>
        <v>15.947005745169</v>
      </c>
      <c r="J1260" s="0" t="n">
        <f aca="false">$J$3*EXP(-$E$1*B1260*86.4/$G$1)</f>
        <v>28.6851141931557</v>
      </c>
      <c r="K1260" s="0" t="n">
        <f aca="false">J1259-J1260</f>
        <v>0.0811580725822303</v>
      </c>
    </row>
    <row r="1261" customFormat="false" ht="12.8" hidden="false" customHeight="false" outlineLevel="0" collapsed="false">
      <c r="A1261" s="0" t="n">
        <v>1</v>
      </c>
      <c r="B1261" s="0" t="n">
        <f aca="false">B1260+A1261</f>
        <v>1258</v>
      </c>
      <c r="C1261" s="0" t="n">
        <f aca="false">$C$3+($G$1/($E$1*86.4))*SINH($E$1*B1261*86.4/$G$1)</f>
        <v>50785.9209122418</v>
      </c>
      <c r="D1261" s="0" t="n">
        <f aca="false">C1261-$C$3-B1261</f>
        <v>4923.92091224177</v>
      </c>
      <c r="E1261" s="0" t="n">
        <f aca="false">$E$1*B1261*86.4</f>
        <v>1066260.672</v>
      </c>
      <c r="F1261" s="0" t="n">
        <f aca="false">$G$1*G1261</f>
        <v>299509.481698941</v>
      </c>
      <c r="G1261" s="0" t="n">
        <f aca="false">TANH($E$1*B1261*86.4/$G$1)</f>
        <v>0.998364938996471</v>
      </c>
      <c r="H1261" s="0" t="n">
        <f aca="false">COSH($E$1*B1261*86.4/$G$1)</f>
        <v>17.4942617000297</v>
      </c>
      <c r="I1261" s="0" t="n">
        <f aca="false">(($G$1^2*1000)/($E$1*$I$1))*(H1261-1)</f>
        <v>15.9947892181565</v>
      </c>
      <c r="J1261" s="0" t="n">
        <f aca="false">$J$3*EXP(-$E$1*B1261*86.4/$G$1)</f>
        <v>28.6041850912472</v>
      </c>
      <c r="K1261" s="0" t="n">
        <f aca="false">J1260-J1261</f>
        <v>0.0809291019084206</v>
      </c>
    </row>
    <row r="1262" customFormat="false" ht="12.8" hidden="false" customHeight="false" outlineLevel="0" collapsed="false">
      <c r="A1262" s="0" t="n">
        <v>1</v>
      </c>
      <c r="B1262" s="0" t="n">
        <f aca="false">B1261+A1262</f>
        <v>1259</v>
      </c>
      <c r="C1262" s="0" t="n">
        <f aca="false">$C$3+($G$1/($E$1*86.4))*SINH($E$1*B1262*86.4/$G$1)</f>
        <v>50803.4398699185</v>
      </c>
      <c r="D1262" s="0" t="n">
        <f aca="false">C1262-$C$3-B1262</f>
        <v>4940.43986991846</v>
      </c>
      <c r="E1262" s="0" t="n">
        <f aca="false">$E$1*B1262*86.4</f>
        <v>1067108.256</v>
      </c>
      <c r="F1262" s="0" t="n">
        <f aca="false">$G$1*G1262</f>
        <v>299512.243339084</v>
      </c>
      <c r="G1262" s="0" t="n">
        <f aca="false">TANH($E$1*B1262*86.4/$G$1)</f>
        <v>0.998374144463612</v>
      </c>
      <c r="H1262" s="0" t="n">
        <f aca="false">COSH($E$1*B1262*86.4/$G$1)</f>
        <v>17.5436769599972</v>
      </c>
      <c r="I1262" s="0" t="n">
        <f aca="false">(($G$1^2*1000)/($E$1*$I$1))*(H1262-1)</f>
        <v>16.0427081054468</v>
      </c>
      <c r="J1262" s="0" t="n">
        <f aca="false">$J$3*EXP(-$E$1*B1262*86.4/$G$1)</f>
        <v>28.5234843140195</v>
      </c>
      <c r="K1262" s="0" t="n">
        <f aca="false">J1261-J1262</f>
        <v>0.0807007772277792</v>
      </c>
    </row>
    <row r="1263" customFormat="false" ht="12.8" hidden="false" customHeight="false" outlineLevel="0" collapsed="false">
      <c r="A1263" s="0" t="n">
        <v>1</v>
      </c>
      <c r="B1263" s="0" t="n">
        <f aca="false">B1262+A1263</f>
        <v>1260</v>
      </c>
      <c r="C1263" s="0" t="n">
        <f aca="false">$C$3+($G$1/($E$1*86.4))*SINH($E$1*B1263*86.4/$G$1)</f>
        <v>50821.0083128409</v>
      </c>
      <c r="D1263" s="0" t="n">
        <f aca="false">C1263-$C$3-B1263</f>
        <v>4957.00831284087</v>
      </c>
      <c r="E1263" s="0" t="n">
        <f aca="false">$E$1*B1263*86.4</f>
        <v>1067955.84</v>
      </c>
      <c r="F1263" s="0" t="n">
        <f aca="false">$G$1*G1263</f>
        <v>299514.989443646</v>
      </c>
      <c r="G1263" s="0" t="n">
        <f aca="false">TANH($E$1*B1263*86.4/$G$1)</f>
        <v>0.998383298145486</v>
      </c>
      <c r="H1263" s="0" t="n">
        <f aca="false">COSH($E$1*B1263*86.4/$G$1)</f>
        <v>17.5932322573204</v>
      </c>
      <c r="I1263" s="0" t="n">
        <f aca="false">(($G$1^2*1000)/($E$1*$I$1))*(H1263-1)</f>
        <v>16.0907627895389</v>
      </c>
      <c r="J1263" s="0" t="n">
        <f aca="false">$J$3*EXP(-$E$1*B1263*86.4/$G$1)</f>
        <v>28.4430112173015</v>
      </c>
      <c r="K1263" s="0" t="n">
        <f aca="false">J1262-J1263</f>
        <v>0.0804730967179701</v>
      </c>
    </row>
    <row r="1264" customFormat="false" ht="12.8" hidden="false" customHeight="false" outlineLevel="0" collapsed="false">
      <c r="A1264" s="0" t="n">
        <v>1</v>
      </c>
      <c r="B1264" s="0" t="n">
        <f aca="false">B1263+A1264</f>
        <v>1261</v>
      </c>
      <c r="C1264" s="0" t="n">
        <f aca="false">$C$3+($G$1/($E$1*86.4))*SINH($E$1*B1264*86.4/$G$1)</f>
        <v>50838.6263812441</v>
      </c>
      <c r="D1264" s="0" t="n">
        <f aca="false">C1264-$C$3-B1264</f>
        <v>4973.62638124406</v>
      </c>
      <c r="E1264" s="0" t="n">
        <f aca="false">$E$1*B1264*86.4</f>
        <v>1068803.424</v>
      </c>
      <c r="F1264" s="0" t="n">
        <f aca="false">$G$1*G1264</f>
        <v>299517.720099882</v>
      </c>
      <c r="G1264" s="0" t="n">
        <f aca="false">TANH($E$1*B1264*86.4/$G$1)</f>
        <v>0.998392400332941</v>
      </c>
      <c r="H1264" s="0" t="n">
        <f aca="false">COSH($E$1*B1264*86.4/$G$1)</f>
        <v>17.64292798756</v>
      </c>
      <c r="I1264" s="0" t="n">
        <f aca="false">(($G$1^2*1000)/($E$1*$I$1))*(H1264-1)</f>
        <v>16.1389536540153</v>
      </c>
      <c r="J1264" s="0" t="n">
        <f aca="false">$J$3*EXP(-$E$1*B1264*86.4/$G$1)</f>
        <v>28.36276515874</v>
      </c>
      <c r="K1264" s="0" t="n">
        <f aca="false">J1263-J1264</f>
        <v>0.0802460585614746</v>
      </c>
    </row>
    <row r="1265" customFormat="false" ht="12.8" hidden="false" customHeight="false" outlineLevel="0" collapsed="false">
      <c r="A1265" s="0" t="n">
        <v>1</v>
      </c>
      <c r="B1265" s="0" t="n">
        <f aca="false">B1264+A1265</f>
        <v>1262</v>
      </c>
      <c r="C1265" s="0" t="n">
        <f aca="false">$C$3+($G$1/($E$1*86.4))*SINH($E$1*B1265*86.4/$G$1)</f>
        <v>50856.2942157592</v>
      </c>
      <c r="D1265" s="0" t="n">
        <f aca="false">C1265-$C$3-B1265</f>
        <v>4990.29421575918</v>
      </c>
      <c r="E1265" s="0" t="n">
        <f aca="false">$E$1*B1265*86.4</f>
        <v>1069651.008</v>
      </c>
      <c r="F1265" s="0" t="n">
        <f aca="false">$G$1*G1265</f>
        <v>299520.435394559</v>
      </c>
      <c r="G1265" s="0" t="n">
        <f aca="false">TANH($E$1*B1265*86.4/$G$1)</f>
        <v>0.998401451315196</v>
      </c>
      <c r="H1265" s="0" t="n">
        <f aca="false">COSH($E$1*B1265*86.4/$G$1)</f>
        <v>17.6927645473979</v>
      </c>
      <c r="I1265" s="0" t="n">
        <f aca="false">(($G$1^2*1000)/($E$1*$I$1))*(H1265-1)</f>
        <v>16.1872810835458</v>
      </c>
      <c r="J1265" s="0" t="n">
        <f aca="false">$J$3*EXP(-$E$1*B1265*86.4/$G$1)</f>
        <v>28.282745497794</v>
      </c>
      <c r="K1265" s="0" t="n">
        <f aca="false">J1264-J1265</f>
        <v>0.0800196609460642</v>
      </c>
    </row>
    <row r="1266" customFormat="false" ht="12.8" hidden="false" customHeight="false" outlineLevel="0" collapsed="false">
      <c r="A1266" s="0" t="n">
        <v>1</v>
      </c>
      <c r="B1266" s="0" t="n">
        <f aca="false">B1265+A1266</f>
        <v>1263</v>
      </c>
      <c r="C1266" s="0" t="n">
        <f aca="false">$C$3+($G$1/($E$1*86.4))*SINH($E$1*B1266*86.4/$G$1)</f>
        <v>50874.0119574146</v>
      </c>
      <c r="D1266" s="0" t="n">
        <f aca="false">C1266-$C$3-B1266</f>
        <v>5007.01195741465</v>
      </c>
      <c r="E1266" s="0" t="n">
        <f aca="false">$E$1*B1266*86.4</f>
        <v>1070498.592</v>
      </c>
      <c r="F1266" s="0" t="n">
        <f aca="false">$G$1*G1266</f>
        <v>299523.135413955</v>
      </c>
      <c r="G1266" s="0" t="n">
        <f aca="false">TANH($E$1*B1266*86.4/$G$1)</f>
        <v>0.998410451379849</v>
      </c>
      <c r="H1266" s="0" t="n">
        <f aca="false">COSH($E$1*B1266*86.4/$G$1)</f>
        <v>17.7427423346402</v>
      </c>
      <c r="I1266" s="0" t="n">
        <f aca="false">(($G$1^2*1000)/($E$1*$I$1))*(H1266-1)</f>
        <v>16.2357454638902</v>
      </c>
      <c r="J1266" s="0" t="n">
        <f aca="false">$J$3*EXP(-$E$1*B1266*86.4/$G$1)</f>
        <v>28.2029515957294</v>
      </c>
      <c r="K1266" s="0" t="n">
        <f aca="false">J1265-J1266</f>
        <v>0.0797939020645835</v>
      </c>
    </row>
    <row r="1267" customFormat="false" ht="12.8" hidden="false" customHeight="false" outlineLevel="0" collapsed="false">
      <c r="A1267" s="0" t="n">
        <v>1</v>
      </c>
      <c r="B1267" s="0" t="n">
        <f aca="false">B1266+A1267</f>
        <v>1264</v>
      </c>
      <c r="C1267" s="0" t="n">
        <f aca="false">$C$3+($G$1/($E$1*86.4))*SINH($E$1*B1267*86.4/$G$1)</f>
        <v>50891.7797476372</v>
      </c>
      <c r="D1267" s="0" t="n">
        <f aca="false">C1267-$C$3-B1267</f>
        <v>5023.77974763723</v>
      </c>
      <c r="E1267" s="0" t="n">
        <f aca="false">$E$1*B1267*86.4</f>
        <v>1071346.176</v>
      </c>
      <c r="F1267" s="0" t="n">
        <f aca="false">$G$1*G1267</f>
        <v>299525.820243867</v>
      </c>
      <c r="G1267" s="0" t="n">
        <f aca="false">TANH($E$1*B1267*86.4/$G$1)</f>
        <v>0.998419400812889</v>
      </c>
      <c r="H1267" s="0" t="n">
        <f aca="false">COSH($E$1*B1267*86.4/$G$1)</f>
        <v>17.7928617482201</v>
      </c>
      <c r="I1267" s="0" t="n">
        <f aca="false">(($G$1^2*1000)/($E$1*$I$1))*(H1267-1)</f>
        <v>16.2843471819014</v>
      </c>
      <c r="J1267" s="0" t="n">
        <f aca="false">$J$3*EXP(-$E$1*B1267*86.4/$G$1)</f>
        <v>28.1233828156144</v>
      </c>
      <c r="K1267" s="0" t="n">
        <f aca="false">J1266-J1267</f>
        <v>0.0795687801149541</v>
      </c>
    </row>
    <row r="1268" customFormat="false" ht="12.8" hidden="false" customHeight="false" outlineLevel="0" collapsed="false">
      <c r="A1268" s="0" t="n">
        <v>1</v>
      </c>
      <c r="B1268" s="0" t="n">
        <f aca="false">B1267+A1268</f>
        <v>1265</v>
      </c>
      <c r="C1268" s="0" t="n">
        <f aca="false">$C$3+($G$1/($E$1*86.4))*SINH($E$1*B1268*86.4/$G$1)</f>
        <v>50909.5977282532</v>
      </c>
      <c r="D1268" s="0" t="n">
        <f aca="false">C1268-$C$3-B1268</f>
        <v>5040.59772825321</v>
      </c>
      <c r="E1268" s="0" t="n">
        <f aca="false">$E$1*B1268*86.4</f>
        <v>1072193.76</v>
      </c>
      <c r="F1268" s="0" t="n">
        <f aca="false">$G$1*G1268</f>
        <v>299528.489969612</v>
      </c>
      <c r="G1268" s="0" t="n">
        <f aca="false">TANH($E$1*B1268*86.4/$G$1)</f>
        <v>0.998428299898705</v>
      </c>
      <c r="H1268" s="0" t="n">
        <f aca="false">COSH($E$1*B1268*86.4/$G$1)</f>
        <v>17.8431231882016</v>
      </c>
      <c r="I1268" s="0" t="n">
        <f aca="false">(($G$1^2*1000)/($E$1*$I$1))*(H1268-1)</f>
        <v>16.3330866255288</v>
      </c>
      <c r="J1268" s="0" t="n">
        <f aca="false">$J$3*EXP(-$E$1*B1268*86.4/$G$1)</f>
        <v>28.0440385223141</v>
      </c>
      <c r="K1268" s="0" t="n">
        <f aca="false">J1267-J1268</f>
        <v>0.0793442933003021</v>
      </c>
    </row>
    <row r="1269" customFormat="false" ht="12.8" hidden="false" customHeight="false" outlineLevel="0" collapsed="false">
      <c r="A1269" s="0" t="n">
        <v>1</v>
      </c>
      <c r="B1269" s="0" t="n">
        <f aca="false">B1268+A1269</f>
        <v>1266</v>
      </c>
      <c r="C1269" s="0" t="n">
        <f aca="false">$C$3+($G$1/($E$1*86.4))*SINH($E$1*B1269*86.4/$G$1)</f>
        <v>50927.4660414895</v>
      </c>
      <c r="D1269" s="0" t="n">
        <f aca="false">C1269-$C$3-B1269</f>
        <v>5057.46604148948</v>
      </c>
      <c r="E1269" s="0" t="n">
        <f aca="false">$E$1*B1269*86.4</f>
        <v>1073041.344</v>
      </c>
      <c r="F1269" s="0" t="n">
        <f aca="false">$G$1*G1269</f>
        <v>299531.144676028</v>
      </c>
      <c r="G1269" s="0" t="n">
        <f aca="false">TANH($E$1*B1269*86.4/$G$1)</f>
        <v>0.998437148920092</v>
      </c>
      <c r="H1269" s="0" t="n">
        <f aca="false">COSH($E$1*B1269*86.4/$G$1)</f>
        <v>17.8935270557819</v>
      </c>
      <c r="I1269" s="0" t="n">
        <f aca="false">(($G$1^2*1000)/($E$1*$I$1))*(H1269-1)</f>
        <v>16.3819641838209</v>
      </c>
      <c r="J1269" s="0" t="n">
        <f aca="false">$J$3*EXP(-$E$1*B1269*86.4/$G$1)</f>
        <v>27.9649180824856</v>
      </c>
      <c r="K1269" s="0" t="n">
        <f aca="false">J1268-J1269</f>
        <v>0.0791204398285466</v>
      </c>
    </row>
    <row r="1270" customFormat="false" ht="12.8" hidden="false" customHeight="false" outlineLevel="0" collapsed="false">
      <c r="A1270" s="0" t="n">
        <v>1</v>
      </c>
      <c r="B1270" s="0" t="n">
        <f aca="false">B1269+A1270</f>
        <v>1267</v>
      </c>
      <c r="C1270" s="0" t="n">
        <f aca="false">$C$3+($G$1/($E$1*86.4))*SINH($E$1*B1270*86.4/$G$1)</f>
        <v>50945.3848299747</v>
      </c>
      <c r="D1270" s="0" t="n">
        <f aca="false">C1270-$C$3-B1270</f>
        <v>5074.38482997473</v>
      </c>
      <c r="E1270" s="0" t="n">
        <f aca="false">$E$1*B1270*86.4</f>
        <v>1073888.928</v>
      </c>
      <c r="F1270" s="0" t="n">
        <f aca="false">$G$1*G1270</f>
        <v>299533.784447479</v>
      </c>
      <c r="G1270" s="0" t="n">
        <f aca="false">TANH($E$1*B1270*86.4/$G$1)</f>
        <v>0.998445948158263</v>
      </c>
      <c r="H1270" s="0" t="n">
        <f aca="false">COSH($E$1*B1270*86.4/$G$1)</f>
        <v>17.9440737532956</v>
      </c>
      <c r="I1270" s="0" t="n">
        <f aca="false">(($G$1^2*1000)/($E$1*$I$1))*(H1270-1)</f>
        <v>16.4309802469287</v>
      </c>
      <c r="J1270" s="0" t="n">
        <f aca="false">$J$3*EXP(-$E$1*B1270*86.4/$G$1)</f>
        <v>27.8860208645726</v>
      </c>
      <c r="K1270" s="0" t="n">
        <f aca="false">J1269-J1270</f>
        <v>0.0788972179130205</v>
      </c>
    </row>
    <row r="1271" customFormat="false" ht="12.8" hidden="false" customHeight="false" outlineLevel="0" collapsed="false">
      <c r="A1271" s="0" t="n">
        <v>1</v>
      </c>
      <c r="B1271" s="0" t="n">
        <f aca="false">B1270+A1271</f>
        <v>1268</v>
      </c>
      <c r="C1271" s="0" t="n">
        <f aca="false">$C$3+($G$1/($E$1*86.4))*SINH($E$1*B1271*86.4/$G$1)</f>
        <v>50963.3542367405</v>
      </c>
      <c r="D1271" s="0" t="n">
        <f aca="false">C1271-$C$3-B1271</f>
        <v>5091.35423674053</v>
      </c>
      <c r="E1271" s="0" t="n">
        <f aca="false">$E$1*B1271*86.4</f>
        <v>1074736.512</v>
      </c>
      <c r="F1271" s="0" t="n">
        <f aca="false">$G$1*G1271</f>
        <v>299536.409367856</v>
      </c>
      <c r="G1271" s="0" t="n">
        <f aca="false">TANH($E$1*B1271*86.4/$G$1)</f>
        <v>0.998454697892855</v>
      </c>
      <c r="H1271" s="0" t="n">
        <f aca="false">COSH($E$1*B1271*86.4/$G$1)</f>
        <v>17.9947636842171</v>
      </c>
      <c r="I1271" s="0" t="n">
        <f aca="false">(($G$1^2*1000)/($E$1*$I$1))*(H1271-1)</f>
        <v>16.4801352061089</v>
      </c>
      <c r="J1271" s="0" t="n">
        <f aca="false">$J$3*EXP(-$E$1*B1271*86.4/$G$1)</f>
        <v>27.8073462388007</v>
      </c>
      <c r="K1271" s="0" t="n">
        <f aca="false">J1270-J1271</f>
        <v>0.0786746257718107</v>
      </c>
    </row>
    <row r="1272" customFormat="false" ht="12.8" hidden="false" customHeight="false" outlineLevel="0" collapsed="false">
      <c r="A1272" s="0" t="n">
        <v>1</v>
      </c>
      <c r="B1272" s="0" t="n">
        <f aca="false">B1271+A1272</f>
        <v>1269</v>
      </c>
      <c r="C1272" s="0" t="n">
        <f aca="false">$C$3+($G$1/($E$1*86.4))*SINH($E$1*B1272*86.4/$G$1)</f>
        <v>50981.3744052225</v>
      </c>
      <c r="D1272" s="0" t="n">
        <f aca="false">C1272-$C$3-B1272</f>
        <v>5108.3744052225</v>
      </c>
      <c r="E1272" s="0" t="n">
        <f aca="false">$E$1*B1272*86.4</f>
        <v>1075584.096</v>
      </c>
      <c r="F1272" s="0" t="n">
        <f aca="false">$G$1*G1272</f>
        <v>299539.019520582</v>
      </c>
      <c r="G1272" s="0" t="n">
        <f aca="false">TANH($E$1*B1272*86.4/$G$1)</f>
        <v>0.998463398401939</v>
      </c>
      <c r="H1272" s="0" t="n">
        <f aca="false">COSH($E$1*B1272*86.4/$G$1)</f>
        <v>18.0455972531642</v>
      </c>
      <c r="I1272" s="0" t="n">
        <f aca="false">(($G$1^2*1000)/($E$1*$I$1))*(H1272-1)</f>
        <v>16.5294294537268</v>
      </c>
      <c r="J1272" s="0" t="n">
        <f aca="false">$J$3*EXP(-$E$1*B1272*86.4/$G$1)</f>
        <v>27.7288935771725</v>
      </c>
      <c r="K1272" s="0" t="n">
        <f aca="false">J1271-J1272</f>
        <v>0.0784526616282015</v>
      </c>
    </row>
    <row r="1273" customFormat="false" ht="12.8" hidden="false" customHeight="false" outlineLevel="0" collapsed="false">
      <c r="A1273" s="0" t="n">
        <v>1</v>
      </c>
      <c r="B1273" s="0" t="n">
        <f aca="false">B1272+A1273</f>
        <v>1270</v>
      </c>
      <c r="C1273" s="0" t="n">
        <f aca="false">$C$3+($G$1/($E$1*86.4))*SINH($E$1*B1273*86.4/$G$1)</f>
        <v>50999.4454792614</v>
      </c>
      <c r="D1273" s="0" t="n">
        <f aca="false">C1273-$C$3-B1273</f>
        <v>5125.44547926144</v>
      </c>
      <c r="E1273" s="0" t="n">
        <f aca="false">$E$1*B1273*86.4</f>
        <v>1076431.68</v>
      </c>
      <c r="F1273" s="0" t="n">
        <f aca="false">$G$1*G1273</f>
        <v>299541.614988609</v>
      </c>
      <c r="G1273" s="0" t="n">
        <f aca="false">TANH($E$1*B1273*86.4/$G$1)</f>
        <v>0.998472049962031</v>
      </c>
      <c r="H1273" s="0" t="n">
        <f aca="false">COSH($E$1*B1273*86.4/$G$1)</f>
        <v>18.0965748659012</v>
      </c>
      <c r="I1273" s="0" t="n">
        <f aca="false">(($G$1^2*1000)/($E$1*$I$1))*(H1273-1)</f>
        <v>16.5788633832595</v>
      </c>
      <c r="J1273" s="0" t="n">
        <f aca="false">$J$3*EXP(-$E$1*B1273*86.4/$G$1)</f>
        <v>27.6506622534622</v>
      </c>
      <c r="K1273" s="0" t="n">
        <f aca="false">J1272-J1273</f>
        <v>0.0782313237103764</v>
      </c>
    </row>
    <row r="1274" customFormat="false" ht="12.8" hidden="false" customHeight="false" outlineLevel="0" collapsed="false">
      <c r="A1274" s="0" t="n">
        <v>1</v>
      </c>
      <c r="B1274" s="0" t="n">
        <f aca="false">B1273+A1274</f>
        <v>1271</v>
      </c>
      <c r="C1274" s="0" t="n">
        <f aca="false">$C$3+($G$1/($E$1*86.4))*SINH($E$1*B1274*86.4/$G$1)</f>
        <v>51017.5676031045</v>
      </c>
      <c r="D1274" s="0" t="n">
        <f aca="false">C1274-$C$3-B1274</f>
        <v>5142.56760310452</v>
      </c>
      <c r="E1274" s="0" t="n">
        <f aca="false">$E$1*B1274*86.4</f>
        <v>1077279.264</v>
      </c>
      <c r="F1274" s="0" t="n">
        <f aca="false">$G$1*G1274</f>
        <v>299544.195854429</v>
      </c>
      <c r="G1274" s="0" t="n">
        <f aca="false">TANH($E$1*B1274*86.4/$G$1)</f>
        <v>0.998480652848096</v>
      </c>
      <c r="H1274" s="0" t="n">
        <f aca="false">COSH($E$1*B1274*86.4/$G$1)</f>
        <v>18.1476969293424</v>
      </c>
      <c r="I1274" s="0" t="n">
        <f aca="false">(($G$1^2*1000)/($E$1*$I$1))*(H1274-1)</f>
        <v>16.6284373892992</v>
      </c>
      <c r="J1274" s="0" t="n">
        <f aca="false">$J$3*EXP(-$E$1*B1274*86.4/$G$1)</f>
        <v>27.5726516432106</v>
      </c>
      <c r="K1274" s="0" t="n">
        <f aca="false">J1273-J1274</f>
        <v>0.0780106102516029</v>
      </c>
    </row>
    <row r="1275" customFormat="false" ht="12.8" hidden="false" customHeight="false" outlineLevel="0" collapsed="false">
      <c r="A1275" s="0" t="n">
        <v>1</v>
      </c>
      <c r="B1275" s="0" t="n">
        <f aca="false">B1274+A1275</f>
        <v>1272</v>
      </c>
      <c r="C1275" s="0" t="n">
        <f aca="false">$C$3+($G$1/($E$1*86.4))*SINH($E$1*B1275*86.4/$G$1)</f>
        <v>51035.7409214064</v>
      </c>
      <c r="D1275" s="0" t="n">
        <f aca="false">C1275-$C$3-B1275</f>
        <v>5159.74092140637</v>
      </c>
      <c r="E1275" s="0" t="n">
        <f aca="false">$E$1*B1275*86.4</f>
        <v>1078126.848</v>
      </c>
      <c r="F1275" s="0" t="n">
        <f aca="false">$G$1*G1275</f>
        <v>299546.762200068</v>
      </c>
      <c r="G1275" s="0" t="n">
        <f aca="false">TANH($E$1*B1275*86.4/$G$1)</f>
        <v>0.998489207333561</v>
      </c>
      <c r="H1275" s="0" t="n">
        <f aca="false">COSH($E$1*B1275*86.4/$G$1)</f>
        <v>18.1989638515547</v>
      </c>
      <c r="I1275" s="0" t="n">
        <f aca="false">(($G$1^2*1000)/($E$1*$I$1))*(H1275-1)</f>
        <v>16.6781518675562</v>
      </c>
      <c r="J1275" s="0" t="n">
        <f aca="false">$J$3*EXP(-$E$1*B1275*86.4/$G$1)</f>
        <v>27.4948611237205</v>
      </c>
      <c r="K1275" s="0" t="n">
        <f aca="false">J1274-J1275</f>
        <v>0.0777905194900903</v>
      </c>
    </row>
    <row r="1276" customFormat="false" ht="12.8" hidden="false" customHeight="false" outlineLevel="0" collapsed="false">
      <c r="A1276" s="0" t="n">
        <v>1</v>
      </c>
      <c r="B1276" s="0" t="n">
        <f aca="false">B1275+A1276</f>
        <v>1273</v>
      </c>
      <c r="C1276" s="0" t="n">
        <f aca="false">$C$3+($G$1/($E$1*86.4))*SINH($E$1*B1276*86.4/$G$1)</f>
        <v>51053.9655792303</v>
      </c>
      <c r="D1276" s="0" t="n">
        <f aca="false">C1276-$C$3-B1276</f>
        <v>5176.96557923029</v>
      </c>
      <c r="E1276" s="0" t="n">
        <f aca="false">$E$1*B1276*86.4</f>
        <v>1078974.432</v>
      </c>
      <c r="F1276" s="0" t="n">
        <f aca="false">$G$1*G1276</f>
        <v>299549.314107096</v>
      </c>
      <c r="G1276" s="0" t="n">
        <f aca="false">TANH($E$1*B1276*86.4/$G$1)</f>
        <v>0.99849771369032</v>
      </c>
      <c r="H1276" s="0" t="n">
        <f aca="false">COSH($E$1*B1276*86.4/$G$1)</f>
        <v>18.2503760417618</v>
      </c>
      <c r="I1276" s="0" t="n">
        <f aca="false">(($G$1^2*1000)/($E$1*$I$1))*(H1276-1)</f>
        <v>16.7280072148619</v>
      </c>
      <c r="J1276" s="0" t="n">
        <f aca="false">$J$3*EXP(-$E$1*B1276*86.4/$G$1)</f>
        <v>27.4172900740515</v>
      </c>
      <c r="K1276" s="0" t="n">
        <f aca="false">J1275-J1276</f>
        <v>0.077571049669011</v>
      </c>
    </row>
    <row r="1277" customFormat="false" ht="12.8" hidden="false" customHeight="false" outlineLevel="0" collapsed="false">
      <c r="A1277" s="0" t="n">
        <v>1</v>
      </c>
      <c r="B1277" s="0" t="n">
        <f aca="false">B1276+A1277</f>
        <v>1274</v>
      </c>
      <c r="C1277" s="0" t="n">
        <f aca="false">$C$3+($G$1/($E$1*86.4))*SINH($E$1*B1277*86.4/$G$1)</f>
        <v>51072.2417220493</v>
      </c>
      <c r="D1277" s="0" t="n">
        <f aca="false">C1277-$C$3-B1277</f>
        <v>5194.24172204934</v>
      </c>
      <c r="E1277" s="0" t="n">
        <f aca="false">$E$1*B1277*86.4</f>
        <v>1079822.016</v>
      </c>
      <c r="F1277" s="0" t="n">
        <f aca="false">$G$1*G1277</f>
        <v>299551.851656624</v>
      </c>
      <c r="G1277" s="0" t="n">
        <f aca="false">TANH($E$1*B1277*86.4/$G$1)</f>
        <v>0.998506172188746</v>
      </c>
      <c r="H1277" s="0" t="n">
        <f aca="false">COSH($E$1*B1277*86.4/$G$1)</f>
        <v>18.3019339103466</v>
      </c>
      <c r="I1277" s="0" t="n">
        <f aca="false">(($G$1^2*1000)/($E$1*$I$1))*(H1277-1)</f>
        <v>16.7780038291723</v>
      </c>
      <c r="J1277" s="0" t="n">
        <f aca="false">$J$3*EXP(-$E$1*B1277*86.4/$G$1)</f>
        <v>27.3399378750149</v>
      </c>
      <c r="K1277" s="0" t="n">
        <f aca="false">J1276-J1277</f>
        <v>0.0773521990365218</v>
      </c>
    </row>
    <row r="1278" customFormat="false" ht="12.8" hidden="false" customHeight="false" outlineLevel="0" collapsed="false">
      <c r="A1278" s="0" t="n">
        <v>1</v>
      </c>
      <c r="B1278" s="0" t="n">
        <f aca="false">B1277+A1278</f>
        <v>1275</v>
      </c>
      <c r="C1278" s="0" t="n">
        <f aca="false">$C$3+($G$1/($E$1*86.4))*SINH($E$1*B1278*86.4/$G$1)</f>
        <v>51090.5694957476</v>
      </c>
      <c r="D1278" s="0" t="n">
        <f aca="false">C1278-$C$3-B1278</f>
        <v>5211.56949574761</v>
      </c>
      <c r="E1278" s="0" t="n">
        <f aca="false">$E$1*B1278*86.4</f>
        <v>1080669.6</v>
      </c>
      <c r="F1278" s="0" t="n">
        <f aca="false">$G$1*G1278</f>
        <v>299554.374929309</v>
      </c>
      <c r="G1278" s="0" t="n">
        <f aca="false">TANH($E$1*B1278*86.4/$G$1)</f>
        <v>0.998514583097696</v>
      </c>
      <c r="H1278" s="0" t="n">
        <f aca="false">COSH($E$1*B1278*86.4/$G$1)</f>
        <v>18.353637868855</v>
      </c>
      <c r="I1278" s="0" t="n">
        <f aca="false">(($G$1^2*1000)/($E$1*$I$1))*(H1278-1)</f>
        <v>16.828142109571</v>
      </c>
      <c r="J1278" s="0" t="n">
        <f aca="false">$J$3*EXP(-$E$1*B1278*86.4/$G$1)</f>
        <v>27.2628039091692</v>
      </c>
      <c r="K1278" s="0" t="n">
        <f aca="false">J1277-J1278</f>
        <v>0.0771339658457464</v>
      </c>
    </row>
    <row r="1279" customFormat="false" ht="12.8" hidden="false" customHeight="false" outlineLevel="0" collapsed="false">
      <c r="A1279" s="0" t="n">
        <v>1</v>
      </c>
      <c r="B1279" s="0" t="n">
        <f aca="false">B1278+A1279</f>
        <v>1276</v>
      </c>
      <c r="C1279" s="0" t="n">
        <f aca="false">$C$3+($G$1/($E$1*86.4))*SINH($E$1*B1279*86.4/$G$1)</f>
        <v>51108.9490466213</v>
      </c>
      <c r="D1279" s="0" t="n">
        <f aca="false">C1279-$C$3-B1279</f>
        <v>5228.94904662125</v>
      </c>
      <c r="E1279" s="0" t="n">
        <f aca="false">$E$1*B1279*86.4</f>
        <v>1081517.184</v>
      </c>
      <c r="F1279" s="0" t="n">
        <f aca="false">$G$1*G1279</f>
        <v>299556.884005357</v>
      </c>
      <c r="G1279" s="0" t="n">
        <f aca="false">TANH($E$1*B1279*86.4/$G$1)</f>
        <v>0.998522946684522</v>
      </c>
      <c r="H1279" s="0" t="n">
        <f aca="false">COSH($E$1*B1279*86.4/$G$1)</f>
        <v>18.4054883299989</v>
      </c>
      <c r="I1279" s="0" t="n">
        <f aca="false">(($G$1^2*1000)/($E$1*$I$1))*(H1279-1)</f>
        <v>16.8784224562724</v>
      </c>
      <c r="J1279" s="0" t="n">
        <f aca="false">$J$3*EXP(-$E$1*B1279*86.4/$G$1)</f>
        <v>27.1858875608145</v>
      </c>
      <c r="K1279" s="0" t="n">
        <f aca="false">J1278-J1279</f>
        <v>0.0769163483546507</v>
      </c>
    </row>
    <row r="1280" customFormat="false" ht="12.8" hidden="false" customHeight="false" outlineLevel="0" collapsed="false">
      <c r="A1280" s="0" t="n">
        <v>1</v>
      </c>
      <c r="B1280" s="0" t="n">
        <f aca="false">B1279+A1280</f>
        <v>1277</v>
      </c>
      <c r="C1280" s="0" t="n">
        <f aca="false">$C$3+($G$1/($E$1*86.4))*SINH($E$1*B1280*86.4/$G$1)</f>
        <v>51127.3805213798</v>
      </c>
      <c r="D1280" s="0" t="n">
        <f aca="false">C1280-$C$3-B1280</f>
        <v>5246.38052137977</v>
      </c>
      <c r="E1280" s="0" t="n">
        <f aca="false">$E$1*B1280*86.4</f>
        <v>1082364.768</v>
      </c>
      <c r="F1280" s="0" t="n">
        <f aca="false">$G$1*G1280</f>
        <v>299559.378964524</v>
      </c>
      <c r="G1280" s="0" t="n">
        <f aca="false">TANH($E$1*B1280*86.4/$G$1)</f>
        <v>0.998531263215079</v>
      </c>
      <c r="H1280" s="0" t="n">
        <f aca="false">COSH($E$1*B1280*86.4/$G$1)</f>
        <v>18.4574857076598</v>
      </c>
      <c r="I1280" s="0" t="n">
        <f aca="false">(($G$1^2*1000)/($E$1*$I$1))*(H1280-1)</f>
        <v>16.928845270625</v>
      </c>
      <c r="J1280" s="0" t="n">
        <f aca="false">$J$3*EXP(-$E$1*B1280*86.4/$G$1)</f>
        <v>27.1091882159884</v>
      </c>
      <c r="K1280" s="0" t="n">
        <f aca="false">J1279-J1280</f>
        <v>0.0766993448261815</v>
      </c>
    </row>
    <row r="1281" customFormat="false" ht="12.8" hidden="false" customHeight="false" outlineLevel="0" collapsed="false">
      <c r="A1281" s="0" t="n">
        <v>1</v>
      </c>
      <c r="B1281" s="0" t="n">
        <f aca="false">B1280+A1281</f>
        <v>1278</v>
      </c>
      <c r="C1281" s="0" t="n">
        <f aca="false">$C$3+($G$1/($E$1*86.4))*SINH($E$1*B1281*86.4/$G$1)</f>
        <v>51145.8640671471</v>
      </c>
      <c r="D1281" s="0" t="n">
        <f aca="false">C1281-$C$3-B1281</f>
        <v>5263.86406714709</v>
      </c>
      <c r="E1281" s="0" t="n">
        <f aca="false">$E$1*B1281*86.4</f>
        <v>1083212.352</v>
      </c>
      <c r="F1281" s="0" t="n">
        <f aca="false">$G$1*G1281</f>
        <v>299561.85988612</v>
      </c>
      <c r="G1281" s="0" t="n">
        <f aca="false">TANH($E$1*B1281*86.4/$G$1)</f>
        <v>0.998539532953733</v>
      </c>
      <c r="H1281" s="0" t="n">
        <f aca="false">COSH($E$1*B1281*86.4/$G$1)</f>
        <v>18.5096304168918</v>
      </c>
      <c r="I1281" s="0" t="n">
        <f aca="false">(($G$1^2*1000)/($E$1*$I$1))*(H1281-1)</f>
        <v>16.9794109551142</v>
      </c>
      <c r="J1281" s="0" t="n">
        <f aca="false">$J$3*EXP(-$E$1*B1281*86.4/$G$1)</f>
        <v>27.0327052624602</v>
      </c>
      <c r="K1281" s="0" t="n">
        <f aca="false">J1280-J1281</f>
        <v>0.0764829535281741</v>
      </c>
    </row>
    <row r="1282" customFormat="false" ht="12.8" hidden="false" customHeight="false" outlineLevel="0" collapsed="false">
      <c r="A1282" s="0" t="n">
        <v>1</v>
      </c>
      <c r="B1282" s="0" t="n">
        <f aca="false">B1281+A1282</f>
        <v>1279</v>
      </c>
      <c r="C1282" s="0" t="n">
        <f aca="false">$C$3+($G$1/($E$1*86.4))*SINH($E$1*B1282*86.4/$G$1)</f>
        <v>51164.3998314628</v>
      </c>
      <c r="D1282" s="0" t="n">
        <f aca="false">C1282-$C$3-B1282</f>
        <v>5281.3998314628</v>
      </c>
      <c r="E1282" s="0" t="n">
        <f aca="false">$E$1*B1282*86.4</f>
        <v>1084059.936</v>
      </c>
      <c r="F1282" s="0" t="n">
        <f aca="false">$G$1*G1282</f>
        <v>299564.32684901</v>
      </c>
      <c r="G1282" s="0" t="n">
        <f aca="false">TANH($E$1*B1282*86.4/$G$1)</f>
        <v>0.998547756163366</v>
      </c>
      <c r="H1282" s="0" t="n">
        <f aca="false">COSH($E$1*B1282*86.4/$G$1)</f>
        <v>18.5619228739249</v>
      </c>
      <c r="I1282" s="0" t="n">
        <f aca="false">(($G$1^2*1000)/($E$1*$I$1))*(H1282-1)</f>
        <v>17.0301199133663</v>
      </c>
      <c r="J1282" s="0" t="n">
        <f aca="false">$J$3*EXP(-$E$1*B1282*86.4/$G$1)</f>
        <v>26.9564380897269</v>
      </c>
      <c r="K1282" s="0" t="n">
        <f aca="false">J1281-J1282</f>
        <v>0.0762671727333242</v>
      </c>
    </row>
    <row r="1283" customFormat="false" ht="12.8" hidden="false" customHeight="false" outlineLevel="0" collapsed="false">
      <c r="A1283" s="0" t="n">
        <v>1</v>
      </c>
      <c r="B1283" s="0" t="n">
        <f aca="false">B1282+A1283</f>
        <v>1280</v>
      </c>
      <c r="C1283" s="0" t="n">
        <f aca="false">$C$3+($G$1/($E$1*86.4))*SINH($E$1*B1283*86.4/$G$1)</f>
        <v>51182.9879622833</v>
      </c>
      <c r="D1283" s="0" t="n">
        <f aca="false">C1283-$C$3-B1283</f>
        <v>5298.98796228333</v>
      </c>
      <c r="E1283" s="0" t="n">
        <f aca="false">$E$1*B1283*86.4</f>
        <v>1084907.52</v>
      </c>
      <c r="F1283" s="0" t="n">
        <f aca="false">$G$1*G1283</f>
        <v>299566.779931618</v>
      </c>
      <c r="G1283" s="0" t="n">
        <f aca="false">TANH($E$1*B1283*86.4/$G$1)</f>
        <v>0.998555933105393</v>
      </c>
      <c r="H1283" s="0" t="n">
        <f aca="false">COSH($E$1*B1283*86.4/$G$1)</f>
        <v>18.6143634961688</v>
      </c>
      <c r="I1283" s="0" t="n">
        <f aca="false">(($G$1^2*1000)/($E$1*$I$1))*(H1283-1)</f>
        <v>17.0809725501508</v>
      </c>
      <c r="J1283" s="0" t="n">
        <f aca="false">$J$3*EXP(-$E$1*B1283*86.4/$G$1)</f>
        <v>26.8803860890076</v>
      </c>
      <c r="K1283" s="0" t="n">
        <f aca="false">J1282-J1283</f>
        <v>0.0760520007193009</v>
      </c>
    </row>
    <row r="1284" customFormat="false" ht="12.8" hidden="false" customHeight="false" outlineLevel="0" collapsed="false">
      <c r="A1284" s="0" t="n">
        <v>1</v>
      </c>
      <c r="B1284" s="0" t="n">
        <f aca="false">B1283+A1284</f>
        <v>1281</v>
      </c>
      <c r="C1284" s="0" t="n">
        <f aca="false">$C$3+($G$1/($E$1*86.4))*SINH($E$1*B1284*86.4/$G$1)</f>
        <v>51201.6286079831</v>
      </c>
      <c r="D1284" s="0" t="n">
        <f aca="false">C1284-$C$3-B1284</f>
        <v>5316.62860798306</v>
      </c>
      <c r="E1284" s="0" t="n">
        <f aca="false">$E$1*B1284*86.4</f>
        <v>1085755.104</v>
      </c>
      <c r="F1284" s="0" t="n">
        <f aca="false">$G$1*G1284</f>
        <v>299569.219211928</v>
      </c>
      <c r="G1284" s="0" t="n">
        <f aca="false">TANH($E$1*B1284*86.4/$G$1)</f>
        <v>0.998564064039759</v>
      </c>
      <c r="H1284" s="0" t="n">
        <f aca="false">COSH($E$1*B1284*86.4/$G$1)</f>
        <v>18.6669527022156</v>
      </c>
      <c r="I1284" s="0" t="n">
        <f aca="false">(($G$1^2*1000)/($E$1*$I$1))*(H1284-1)</f>
        <v>17.1319692713842</v>
      </c>
      <c r="J1284" s="0" t="n">
        <f aca="false">$J$3*EXP(-$E$1*B1284*86.4/$G$1)</f>
        <v>26.8045486532391</v>
      </c>
      <c r="K1284" s="0" t="n">
        <f aca="false">J1283-J1284</f>
        <v>0.0758374357684453</v>
      </c>
    </row>
    <row r="1285" customFormat="false" ht="12.8" hidden="false" customHeight="false" outlineLevel="0" collapsed="false">
      <c r="A1285" s="0" t="n">
        <v>1</v>
      </c>
      <c r="B1285" s="0" t="n">
        <f aca="false">B1284+A1285</f>
        <v>1282</v>
      </c>
      <c r="C1285" s="0" t="n">
        <f aca="false">$C$3+($G$1/($E$1*86.4))*SINH($E$1*B1285*86.4/$G$1)</f>
        <v>51220.3219173556</v>
      </c>
      <c r="D1285" s="0" t="n">
        <f aca="false">C1285-$C$3-B1285</f>
        <v>5334.3219173556</v>
      </c>
      <c r="E1285" s="0" t="n">
        <f aca="false">$E$1*B1285*86.4</f>
        <v>1086602.688</v>
      </c>
      <c r="F1285" s="0" t="n">
        <f aca="false">$G$1*G1285</f>
        <v>299571.644767487</v>
      </c>
      <c r="G1285" s="0" t="n">
        <f aca="false">TANH($E$1*B1285*86.4/$G$1)</f>
        <v>0.998572149224955</v>
      </c>
      <c r="H1285" s="0" t="n">
        <f aca="false">COSH($E$1*B1285*86.4/$G$1)</f>
        <v>18.7196909118435</v>
      </c>
      <c r="I1285" s="0" t="n">
        <f aca="false">(($G$1^2*1000)/($E$1*$I$1))*(H1285-1)</f>
        <v>17.1831104841334</v>
      </c>
      <c r="J1285" s="0" t="n">
        <f aca="false">$J$3*EXP(-$E$1*B1285*86.4/$G$1)</f>
        <v>26.728925177071</v>
      </c>
      <c r="K1285" s="0" t="n">
        <f aca="false">J1284-J1285</f>
        <v>0.0756234761681256</v>
      </c>
    </row>
    <row r="1286" customFormat="false" ht="12.8" hidden="false" customHeight="false" outlineLevel="0" collapsed="false">
      <c r="A1286" s="0" t="n">
        <v>1</v>
      </c>
      <c r="B1286" s="0" t="n">
        <f aca="false">B1285+A1286</f>
        <v>1283</v>
      </c>
      <c r="C1286" s="0" t="n">
        <f aca="false">$C$3+($G$1/($E$1*86.4))*SINH($E$1*B1286*86.4/$G$1)</f>
        <v>51239.0680396149</v>
      </c>
      <c r="D1286" s="0" t="n">
        <f aca="false">C1286-$C$3-B1286</f>
        <v>5352.06803961492</v>
      </c>
      <c r="E1286" s="0" t="n">
        <f aca="false">$E$1*B1286*86.4</f>
        <v>1087450.272</v>
      </c>
      <c r="F1286" s="0" t="n">
        <f aca="false">$G$1*G1286</f>
        <v>299574.056675408</v>
      </c>
      <c r="G1286" s="0" t="n">
        <f aca="false">TANH($E$1*B1286*86.4/$G$1)</f>
        <v>0.998580188918026</v>
      </c>
      <c r="H1286" s="0" t="n">
        <f aca="false">COSH($E$1*B1286*86.4/$G$1)</f>
        <v>18.7725785460201</v>
      </c>
      <c r="I1286" s="0" t="n">
        <f aca="false">(($G$1^2*1000)/($E$1*$I$1))*(H1286-1)</f>
        <v>17.2343965966182</v>
      </c>
      <c r="J1286" s="0" t="n">
        <f aca="false">$J$3*EXP(-$E$1*B1286*86.4/$G$1)</f>
        <v>26.6535150568605</v>
      </c>
      <c r="K1286" s="0" t="n">
        <f aca="false">J1285-J1286</f>
        <v>0.0754101202104707</v>
      </c>
    </row>
    <row r="1287" customFormat="false" ht="12.8" hidden="false" customHeight="false" outlineLevel="0" collapsed="false">
      <c r="A1287" s="0" t="n">
        <v>1</v>
      </c>
      <c r="B1287" s="0" t="n">
        <f aca="false">B1286+A1287</f>
        <v>1284</v>
      </c>
      <c r="C1287" s="0" t="n">
        <f aca="false">$C$3+($G$1/($E$1*86.4))*SINH($E$1*B1287*86.4/$G$1)</f>
        <v>51257.8671243965</v>
      </c>
      <c r="D1287" s="0" t="n">
        <f aca="false">C1287-$C$3-B1287</f>
        <v>5369.86712439653</v>
      </c>
      <c r="E1287" s="0" t="n">
        <f aca="false">$E$1*B1287*86.4</f>
        <v>1088297.856</v>
      </c>
      <c r="F1287" s="0" t="n">
        <f aca="false">$G$1*G1287</f>
        <v>299576.455012372</v>
      </c>
      <c r="G1287" s="0" t="n">
        <f aca="false">TANH($E$1*B1287*86.4/$G$1)</f>
        <v>0.998588183374574</v>
      </c>
      <c r="H1287" s="0" t="n">
        <f aca="false">COSH($E$1*B1287*86.4/$G$1)</f>
        <v>18.8256160269057</v>
      </c>
      <c r="I1287" s="0" t="n">
        <f aca="false">(($G$1^2*1000)/($E$1*$I$1))*(H1287-1)</f>
        <v>17.2858280182153</v>
      </c>
      <c r="J1287" s="0" t="n">
        <f aca="false">$J$3*EXP(-$E$1*B1287*86.4/$G$1)</f>
        <v>26.5783176906681</v>
      </c>
      <c r="K1287" s="0" t="n">
        <f aca="false">J1286-J1287</f>
        <v>0.0751973661924019</v>
      </c>
    </row>
    <row r="1288" customFormat="false" ht="12.8" hidden="false" customHeight="false" outlineLevel="0" collapsed="false">
      <c r="A1288" s="0" t="n">
        <v>1</v>
      </c>
      <c r="B1288" s="0" t="n">
        <f aca="false">B1287+A1288</f>
        <v>1285</v>
      </c>
      <c r="C1288" s="0" t="n">
        <f aca="false">$C$3+($G$1/($E$1*86.4))*SINH($E$1*B1288*86.4/$G$1)</f>
        <v>51276.7193217587</v>
      </c>
      <c r="D1288" s="0" t="n">
        <f aca="false">C1288-$C$3-B1288</f>
        <v>5387.71932175873</v>
      </c>
      <c r="E1288" s="0" t="n">
        <f aca="false">$E$1*B1288*86.4</f>
        <v>1089145.44</v>
      </c>
      <c r="F1288" s="0" t="n">
        <f aca="false">$G$1*G1288</f>
        <v>299578.839854631</v>
      </c>
      <c r="G1288" s="0" t="n">
        <f aca="false">TANH($E$1*B1288*86.4/$G$1)</f>
        <v>0.99859613284877</v>
      </c>
      <c r="H1288" s="0" t="n">
        <f aca="false">COSH($E$1*B1288*86.4/$G$1)</f>
        <v>18.8788037778568</v>
      </c>
      <c r="I1288" s="0" t="n">
        <f aca="false">(($G$1^2*1000)/($E$1*$I$1))*(H1288-1)</f>
        <v>17.3374051594612</v>
      </c>
      <c r="J1288" s="0" t="n">
        <f aca="false">$J$3*EXP(-$E$1*B1288*86.4/$G$1)</f>
        <v>26.5033324782524</v>
      </c>
      <c r="K1288" s="0" t="n">
        <f aca="false">J1287-J1288</f>
        <v>0.074985212415676</v>
      </c>
    </row>
    <row r="1289" customFormat="false" ht="12.8" hidden="false" customHeight="false" outlineLevel="0" collapsed="false">
      <c r="A1289" s="0" t="n">
        <v>1</v>
      </c>
      <c r="B1289" s="0" t="n">
        <f aca="false">B1288+A1289</f>
        <v>1286</v>
      </c>
      <c r="C1289" s="0" t="n">
        <f aca="false">$C$3+($G$1/($E$1*86.4))*SINH($E$1*B1289*86.4/$G$1)</f>
        <v>51295.6247821838</v>
      </c>
      <c r="D1289" s="0" t="n">
        <f aca="false">C1289-$C$3-B1289</f>
        <v>5405.62478218377</v>
      </c>
      <c r="E1289" s="0" t="n">
        <f aca="false">$E$1*B1289*86.4</f>
        <v>1089993.024</v>
      </c>
      <c r="F1289" s="0" t="n">
        <f aca="false">$G$1*G1289</f>
        <v>299581.211278008</v>
      </c>
      <c r="G1289" s="0" t="n">
        <f aca="false">TANH($E$1*B1289*86.4/$G$1)</f>
        <v>0.99860403759336</v>
      </c>
      <c r="H1289" s="0" t="n">
        <f aca="false">COSH($E$1*B1289*86.4/$G$1)</f>
        <v>18.9321422234292</v>
      </c>
      <c r="I1289" s="0" t="n">
        <f aca="false">(($G$1^2*1000)/($E$1*$I$1))*(H1289-1)</f>
        <v>17.3891284320557</v>
      </c>
      <c r="J1289" s="0" t="n">
        <f aca="false">$J$3*EXP(-$E$1*B1289*86.4/$G$1)</f>
        <v>26.4285588210656</v>
      </c>
      <c r="K1289" s="0" t="n">
        <f aca="false">J1288-J1289</f>
        <v>0.0747736571868245</v>
      </c>
    </row>
    <row r="1290" customFormat="false" ht="12.8" hidden="false" customHeight="false" outlineLevel="0" collapsed="false">
      <c r="A1290" s="0" t="n">
        <v>1</v>
      </c>
      <c r="B1290" s="0" t="n">
        <f aca="false">B1289+A1290</f>
        <v>1287</v>
      </c>
      <c r="C1290" s="0" t="n">
        <f aca="false">$C$3+($G$1/($E$1*86.4))*SINH($E$1*B1290*86.4/$G$1)</f>
        <v>51314.583656579</v>
      </c>
      <c r="D1290" s="0" t="n">
        <f aca="false">C1290-$C$3-B1290</f>
        <v>5423.58365657905</v>
      </c>
      <c r="E1290" s="0" t="n">
        <f aca="false">$E$1*B1290*86.4</f>
        <v>1090840.608</v>
      </c>
      <c r="F1290" s="0" t="n">
        <f aca="false">$G$1*G1290</f>
        <v>299583.569357903</v>
      </c>
      <c r="G1290" s="0" t="n">
        <f aca="false">TANH($E$1*B1290*86.4/$G$1)</f>
        <v>0.998611897859676</v>
      </c>
      <c r="H1290" s="0" t="n">
        <f aca="false">COSH($E$1*B1290*86.4/$G$1)</f>
        <v>18.9856317893819</v>
      </c>
      <c r="I1290" s="0" t="n">
        <f aca="false">(($G$1^2*1000)/($E$1*$I$1))*(H1290-1)</f>
        <v>17.4409982488649</v>
      </c>
      <c r="J1290" s="0" t="n">
        <f aca="false">$J$3*EXP(-$E$1*B1290*86.4/$G$1)</f>
        <v>26.3539961222484</v>
      </c>
      <c r="K1290" s="0" t="n">
        <f aca="false">J1289-J1290</f>
        <v>0.0745626988172461</v>
      </c>
    </row>
    <row r="1291" customFormat="false" ht="12.8" hidden="false" customHeight="false" outlineLevel="0" collapsed="false">
      <c r="A1291" s="0" t="n">
        <v>1</v>
      </c>
      <c r="B1291" s="0" t="n">
        <f aca="false">B1290+A1291</f>
        <v>1288</v>
      </c>
      <c r="C1291" s="0" t="n">
        <f aca="false">$C$3+($G$1/($E$1*86.4))*SINH($E$1*B1291*86.4/$G$1)</f>
        <v>51333.5960962783</v>
      </c>
      <c r="D1291" s="0" t="n">
        <f aca="false">C1291-$C$3-B1291</f>
        <v>5441.59609627831</v>
      </c>
      <c r="E1291" s="0" t="n">
        <f aca="false">$E$1*B1291*86.4</f>
        <v>1091688.192</v>
      </c>
      <c r="F1291" s="0" t="n">
        <f aca="false">$G$1*G1291</f>
        <v>299585.914169292</v>
      </c>
      <c r="G1291" s="0" t="n">
        <f aca="false">TANH($E$1*B1291*86.4/$G$1)</f>
        <v>0.998619713897639</v>
      </c>
      <c r="H1291" s="0" t="n">
        <f aca="false">COSH($E$1*B1291*86.4/$G$1)</f>
        <v>19.0392729026798</v>
      </c>
      <c r="I1291" s="0" t="n">
        <f aca="false">(($G$1^2*1000)/($E$1*$I$1))*(H1291-1)</f>
        <v>17.4930150239247</v>
      </c>
      <c r="J1291" s="0" t="n">
        <f aca="false">$J$3*EXP(-$E$1*B1291*86.4/$G$1)</f>
        <v>26.2796437866255</v>
      </c>
      <c r="K1291" s="0" t="n">
        <f aca="false">J1290-J1291</f>
        <v>0.0743523356228799</v>
      </c>
    </row>
    <row r="1292" customFormat="false" ht="12.8" hidden="false" customHeight="false" outlineLevel="0" collapsed="false">
      <c r="A1292" s="0" t="n">
        <v>1</v>
      </c>
      <c r="B1292" s="0" t="n">
        <f aca="false">B1291+A1292</f>
        <v>1289</v>
      </c>
      <c r="C1292" s="0" t="n">
        <f aca="false">$C$3+($G$1/($E$1*86.4))*SINH($E$1*B1292*86.4/$G$1)</f>
        <v>51352.6622530429</v>
      </c>
      <c r="D1292" s="0" t="n">
        <f aca="false">C1292-$C$3-B1292</f>
        <v>5459.66225304289</v>
      </c>
      <c r="E1292" s="0" t="n">
        <f aca="false">$E$1*B1292*86.4</f>
        <v>1092535.776</v>
      </c>
      <c r="F1292" s="0" t="n">
        <f aca="false">$G$1*G1292</f>
        <v>299588.245786732</v>
      </c>
      <c r="G1292" s="0" t="n">
        <f aca="false">TANH($E$1*B1292*86.4/$G$1)</f>
        <v>0.998627485955772</v>
      </c>
      <c r="H1292" s="0" t="n">
        <f aca="false">COSH($E$1*B1292*86.4/$G$1)</f>
        <v>19.0930659914977</v>
      </c>
      <c r="I1292" s="0" t="n">
        <f aca="false">(($G$1^2*1000)/($E$1*$I$1))*(H1292-1)</f>
        <v>17.545179172444</v>
      </c>
      <c r="J1292" s="0" t="n">
        <f aca="false">$J$3*EXP(-$E$1*B1292*86.4/$G$1)</f>
        <v>26.2055012207008</v>
      </c>
      <c r="K1292" s="0" t="n">
        <f aca="false">J1291-J1292</f>
        <v>0.0741425659247206</v>
      </c>
    </row>
    <row r="1293" customFormat="false" ht="12.8" hidden="false" customHeight="false" outlineLevel="0" collapsed="false">
      <c r="A1293" s="0" t="n">
        <v>1</v>
      </c>
      <c r="B1293" s="0" t="n">
        <f aca="false">B1292+A1293</f>
        <v>1290</v>
      </c>
      <c r="C1293" s="0" t="n">
        <f aca="false">$C$3+($G$1/($E$1*86.4))*SINH($E$1*B1293*86.4/$G$1)</f>
        <v>51371.7822790629</v>
      </c>
      <c r="D1293" s="0" t="n">
        <f aca="false">C1293-$C$3-B1293</f>
        <v>5477.78227906292</v>
      </c>
      <c r="E1293" s="0" t="n">
        <f aca="false">$E$1*B1293*86.4</f>
        <v>1093383.36</v>
      </c>
      <c r="F1293" s="0" t="n">
        <f aca="false">$G$1*G1293</f>
        <v>299590.564284361</v>
      </c>
      <c r="G1293" s="0" t="n">
        <f aca="false">TANH($E$1*B1293*86.4/$G$1)</f>
        <v>0.998635214281204</v>
      </c>
      <c r="H1293" s="0" t="n">
        <f aca="false">COSH($E$1*B1293*86.4/$G$1)</f>
        <v>19.1470114852235</v>
      </c>
      <c r="I1293" s="0" t="n">
        <f aca="false">(($G$1^2*1000)/($E$1*$I$1))*(H1293-1)</f>
        <v>17.5974911108081</v>
      </c>
      <c r="J1293" s="0" t="n">
        <f aca="false">$J$3*EXP(-$E$1*B1293*86.4/$G$1)</f>
        <v>26.1315678326525</v>
      </c>
      <c r="K1293" s="0" t="n">
        <f aca="false">J1292-J1293</f>
        <v>0.0739333880482356</v>
      </c>
    </row>
    <row r="1294" customFormat="false" ht="12.8" hidden="false" customHeight="false" outlineLevel="0" collapsed="false">
      <c r="A1294" s="0" t="n">
        <v>1</v>
      </c>
      <c r="B1294" s="0" t="n">
        <f aca="false">B1293+A1294</f>
        <v>1291</v>
      </c>
      <c r="C1294" s="0" t="n">
        <f aca="false">$C$3+($G$1/($E$1*86.4))*SINH($E$1*B1294*86.4/$G$1)</f>
        <v>51390.9563269585</v>
      </c>
      <c r="D1294" s="0" t="n">
        <f aca="false">C1294-$C$3-B1294</f>
        <v>5495.9563269585</v>
      </c>
      <c r="E1294" s="0" t="n">
        <f aca="false">$E$1*B1294*86.4</f>
        <v>1094230.944</v>
      </c>
      <c r="F1294" s="0" t="n">
        <f aca="false">$G$1*G1294</f>
        <v>299592.869735904</v>
      </c>
      <c r="G1294" s="0" t="n">
        <f aca="false">TANH($E$1*B1294*86.4/$G$1)</f>
        <v>0.99864289911968</v>
      </c>
      <c r="H1294" s="0" t="n">
        <f aca="false">COSH($E$1*B1294*86.4/$G$1)</f>
        <v>19.2011098144616</v>
      </c>
      <c r="I1294" s="0" t="n">
        <f aca="false">(($G$1^2*1000)/($E$1*$I$1))*(H1294-1)</f>
        <v>17.6499512565821</v>
      </c>
      <c r="J1294" s="0" t="n">
        <f aca="false">$J$3*EXP(-$E$1*B1294*86.4/$G$1)</f>
        <v>26.0578430323288</v>
      </c>
      <c r="K1294" s="0" t="n">
        <f aca="false">J1293-J1294</f>
        <v>0.0737248003237667</v>
      </c>
    </row>
    <row r="1295" customFormat="false" ht="12.8" hidden="false" customHeight="false" outlineLevel="0" collapsed="false">
      <c r="A1295" s="0" t="n">
        <v>1</v>
      </c>
      <c r="B1295" s="0" t="n">
        <f aca="false">B1294+A1295</f>
        <v>1292</v>
      </c>
      <c r="C1295" s="0" t="n">
        <f aca="false">$C$3+($G$1/($E$1*86.4))*SINH($E$1*B1295*86.4/$G$1)</f>
        <v>51410.184549781</v>
      </c>
      <c r="D1295" s="0" t="n">
        <f aca="false">C1295-$C$3-B1295</f>
        <v>5514.18454978095</v>
      </c>
      <c r="E1295" s="0" t="n">
        <f aca="false">$E$1*B1295*86.4</f>
        <v>1095078.528</v>
      </c>
      <c r="F1295" s="0" t="n">
        <f aca="false">$G$1*G1295</f>
        <v>299595.16221467</v>
      </c>
      <c r="G1295" s="0" t="n">
        <f aca="false">TANH($E$1*B1295*86.4/$G$1)</f>
        <v>0.998650540715567</v>
      </c>
      <c r="H1295" s="0" t="n">
        <f aca="false">COSH($E$1*B1295*86.4/$G$1)</f>
        <v>19.2553614110364</v>
      </c>
      <c r="I1295" s="0" t="n">
        <f aca="false">(($G$1^2*1000)/($E$1*$I$1))*(H1295-1)</f>
        <v>17.7025600285139</v>
      </c>
      <c r="J1295" s="0" t="n">
        <f aca="false">$J$3*EXP(-$E$1*B1295*86.4/$G$1)</f>
        <v>25.9843262312425</v>
      </c>
      <c r="K1295" s="0" t="n">
        <f aca="false">J1294-J1295</f>
        <v>0.0735168010863063</v>
      </c>
    </row>
    <row r="1296" customFormat="false" ht="12.8" hidden="false" customHeight="false" outlineLevel="0" collapsed="false">
      <c r="A1296" s="0" t="n">
        <v>1</v>
      </c>
      <c r="B1296" s="0" t="n">
        <f aca="false">B1295+A1296</f>
        <v>1293</v>
      </c>
      <c r="C1296" s="0" t="n">
        <f aca="false">$C$3+($G$1/($E$1*86.4))*SINH($E$1*B1296*86.4/$G$1)</f>
        <v>51429.467101014</v>
      </c>
      <c r="D1296" s="0" t="n">
        <f aca="false">C1296-$C$3-B1296</f>
        <v>5532.46710101402</v>
      </c>
      <c r="E1296" s="0" t="n">
        <f aca="false">$E$1*B1296*86.4</f>
        <v>1095926.112</v>
      </c>
      <c r="F1296" s="0" t="n">
        <f aca="false">$G$1*G1296</f>
        <v>299597.441793559</v>
      </c>
      <c r="G1296" s="0" t="n">
        <f aca="false">TANH($E$1*B1296*86.4/$G$1)</f>
        <v>0.998658139311862</v>
      </c>
      <c r="H1296" s="0" t="n">
        <f aca="false">COSH($E$1*B1296*86.4/$G$1)</f>
        <v>19.3097667079954</v>
      </c>
      <c r="I1296" s="0" t="n">
        <f aca="false">(($G$1^2*1000)/($E$1*$I$1))*(H1296-1)</f>
        <v>17.755317846538</v>
      </c>
      <c r="J1296" s="0" t="n">
        <f aca="false">$J$3*EXP(-$E$1*B1296*86.4/$G$1)</f>
        <v>25.9110168425669</v>
      </c>
      <c r="K1296" s="0" t="n">
        <f aca="false">J1295-J1296</f>
        <v>0.0733093886755469</v>
      </c>
    </row>
    <row r="1297" customFormat="false" ht="12.8" hidden="false" customHeight="false" outlineLevel="0" collapsed="false">
      <c r="A1297" s="0" t="n">
        <v>1</v>
      </c>
      <c r="B1297" s="0" t="n">
        <f aca="false">B1296+A1297</f>
        <v>1294</v>
      </c>
      <c r="C1297" s="0" t="n">
        <f aca="false">$C$3+($G$1/($E$1*86.4))*SINH($E$1*B1297*86.4/$G$1)</f>
        <v>51448.8041345751</v>
      </c>
      <c r="D1297" s="0" t="n">
        <f aca="false">C1297-$C$3-B1297</f>
        <v>5550.80413457514</v>
      </c>
      <c r="E1297" s="0" t="n">
        <f aca="false">$E$1*B1297*86.4</f>
        <v>1096773.696</v>
      </c>
      <c r="F1297" s="0" t="n">
        <f aca="false">$G$1*G1297</f>
        <v>299599.708545061</v>
      </c>
      <c r="G1297" s="0" t="n">
        <f aca="false">TANH($E$1*B1297*86.4/$G$1)</f>
        <v>0.998665695150203</v>
      </c>
      <c r="H1297" s="0" t="n">
        <f aca="false">COSH($E$1*B1297*86.4/$G$1)</f>
        <v>19.3643261396136</v>
      </c>
      <c r="I1297" s="0" t="n">
        <f aca="false">(($G$1^2*1000)/($E$1*$I$1))*(H1297-1)</f>
        <v>17.8082251317785</v>
      </c>
      <c r="J1297" s="0" t="n">
        <f aca="false">$J$3*EXP(-$E$1*B1297*86.4/$G$1)</f>
        <v>25.837914281131</v>
      </c>
      <c r="K1297" s="0" t="n">
        <f aca="false">J1296-J1297</f>
        <v>0.0731025614359524</v>
      </c>
    </row>
    <row r="1298" customFormat="false" ht="12.8" hidden="false" customHeight="false" outlineLevel="0" collapsed="false">
      <c r="A1298" s="0" t="n">
        <v>1</v>
      </c>
      <c r="B1298" s="0" t="n">
        <f aca="false">B1297+A1298</f>
        <v>1295</v>
      </c>
      <c r="C1298" s="0" t="n">
        <f aca="false">$C$3+($G$1/($E$1*86.4))*SINH($E$1*B1298*86.4/$G$1)</f>
        <v>51468.1958048166</v>
      </c>
      <c r="D1298" s="0" t="n">
        <f aca="false">C1298-$C$3-B1298</f>
        <v>5569.19580481662</v>
      </c>
      <c r="E1298" s="0" t="n">
        <f aca="false">$E$1*B1298*86.4</f>
        <v>1097621.28</v>
      </c>
      <c r="F1298" s="0" t="n">
        <f aca="false">$G$1*G1298</f>
        <v>299601.962541261</v>
      </c>
      <c r="G1298" s="0" t="n">
        <f aca="false">TANH($E$1*B1298*86.4/$G$1)</f>
        <v>0.998673208470871</v>
      </c>
      <c r="H1298" s="0" t="n">
        <f aca="false">COSH($E$1*B1298*86.4/$G$1)</f>
        <v>19.4190401413957</v>
      </c>
      <c r="I1298" s="0" t="n">
        <f aca="false">(($G$1^2*1000)/($E$1*$I$1))*(H1298-1)</f>
        <v>17.8612823065525</v>
      </c>
      <c r="J1298" s="0" t="n">
        <f aca="false">$J$3*EXP(-$E$1*B1298*86.4/$G$1)</f>
        <v>25.7650179634145</v>
      </c>
      <c r="K1298" s="0" t="n">
        <f aca="false">J1297-J1298</f>
        <v>0.0728963177164737</v>
      </c>
    </row>
    <row r="1299" customFormat="false" ht="12.8" hidden="false" customHeight="false" outlineLevel="0" collapsed="false">
      <c r="A1299" s="0" t="n">
        <v>1</v>
      </c>
      <c r="B1299" s="0" t="n">
        <f aca="false">B1298+A1299</f>
        <v>1296</v>
      </c>
      <c r="C1299" s="0" t="n">
        <f aca="false">$C$3+($G$1/($E$1*86.4))*SINH($E$1*B1299*86.4/$G$1)</f>
        <v>51487.6422665269</v>
      </c>
      <c r="D1299" s="0" t="n">
        <f aca="false">C1299-$C$3-B1299</f>
        <v>5587.64226652688</v>
      </c>
      <c r="E1299" s="0" t="n">
        <f aca="false">$E$1*B1299*86.4</f>
        <v>1098468.864</v>
      </c>
      <c r="F1299" s="0" t="n">
        <f aca="false">$G$1*G1299</f>
        <v>299604.203853841</v>
      </c>
      <c r="G1299" s="0" t="n">
        <f aca="false">TANH($E$1*B1299*86.4/$G$1)</f>
        <v>0.998680679512802</v>
      </c>
      <c r="H1299" s="0" t="n">
        <f aca="false">COSH($E$1*B1299*86.4/$G$1)</f>
        <v>19.4739091500806</v>
      </c>
      <c r="I1299" s="0" t="n">
        <f aca="false">(($G$1^2*1000)/($E$1*$I$1))*(H1299-1)</f>
        <v>17.9144897943738</v>
      </c>
      <c r="J1299" s="0" t="n">
        <f aca="false">$J$3*EXP(-$E$1*B1299*86.4/$G$1)</f>
        <v>25.6923273075436</v>
      </c>
      <c r="K1299" s="0" t="n">
        <f aca="false">J1298-J1299</f>
        <v>0.0726906558709253</v>
      </c>
    </row>
    <row r="1300" customFormat="false" ht="12.8" hidden="false" customHeight="false" outlineLevel="0" collapsed="false">
      <c r="A1300" s="0" t="n">
        <v>1</v>
      </c>
      <c r="B1300" s="0" t="n">
        <f aca="false">B1299+A1300</f>
        <v>1297</v>
      </c>
      <c r="C1300" s="0" t="n">
        <f aca="false">$C$3+($G$1/($E$1*86.4))*SINH($E$1*B1300*86.4/$G$1)</f>
        <v>51507.1436749317</v>
      </c>
      <c r="D1300" s="0" t="n">
        <f aca="false">C1300-$C$3-B1300</f>
        <v>5606.14367493172</v>
      </c>
      <c r="E1300" s="0" t="n">
        <f aca="false">$E$1*B1300*86.4</f>
        <v>1099316.448</v>
      </c>
      <c r="F1300" s="0" t="n">
        <f aca="false">$G$1*G1300</f>
        <v>299606.432554077</v>
      </c>
      <c r="G1300" s="0" t="n">
        <f aca="false">TANH($E$1*B1300*86.4/$G$1)</f>
        <v>0.99868810851359</v>
      </c>
      <c r="H1300" s="0" t="n">
        <f aca="false">COSH($E$1*B1300*86.4/$G$1)</f>
        <v>19.5289336036444</v>
      </c>
      <c r="I1300" s="0" t="n">
        <f aca="false">(($G$1^2*1000)/($E$1*$I$1))*(H1300-1)</f>
        <v>17.9678480199556</v>
      </c>
      <c r="J1300" s="0" t="n">
        <f aca="false">$J$3*EXP(-$E$1*B1300*86.4/$G$1)</f>
        <v>25.619841733286</v>
      </c>
      <c r="K1300" s="0" t="n">
        <f aca="false">J1299-J1300</f>
        <v>0.0724855742575983</v>
      </c>
    </row>
    <row r="1301" customFormat="false" ht="12.8" hidden="false" customHeight="false" outlineLevel="0" collapsed="false">
      <c r="A1301" s="0" t="n">
        <v>1</v>
      </c>
      <c r="B1301" s="0" t="n">
        <f aca="false">B1300+A1301</f>
        <v>1298</v>
      </c>
      <c r="C1301" s="0" t="n">
        <f aca="false">$C$3+($G$1/($E$1*86.4))*SINH($E$1*B1301*86.4/$G$1)</f>
        <v>51526.7001856955</v>
      </c>
      <c r="D1301" s="0" t="n">
        <f aca="false">C1301-$C$3-B1301</f>
        <v>5624.70018569553</v>
      </c>
      <c r="E1301" s="0" t="n">
        <f aca="false">$E$1*B1301*86.4</f>
        <v>1100164.032</v>
      </c>
      <c r="F1301" s="0" t="n">
        <f aca="false">$G$1*G1301</f>
        <v>299608.64871285</v>
      </c>
      <c r="G1301" s="0" t="n">
        <f aca="false">TANH($E$1*B1301*86.4/$G$1)</f>
        <v>0.998695495709501</v>
      </c>
      <c r="H1301" s="0" t="n">
        <f aca="false">COSH($E$1*B1301*86.4/$G$1)</f>
        <v>19.5841139413039</v>
      </c>
      <c r="I1301" s="0" t="n">
        <f aca="false">(($G$1^2*1000)/($E$1*$I$1))*(H1301-1)</f>
        <v>18.0213574092149</v>
      </c>
      <c r="J1301" s="0" t="n">
        <f aca="false">$J$3*EXP(-$E$1*B1301*86.4/$G$1)</f>
        <v>25.5475606620464</v>
      </c>
      <c r="K1301" s="0" t="n">
        <f aca="false">J1300-J1301</f>
        <v>0.0722810712395443</v>
      </c>
    </row>
    <row r="1302" customFormat="false" ht="12.8" hidden="false" customHeight="false" outlineLevel="0" collapsed="false">
      <c r="A1302" s="0" t="n">
        <v>1</v>
      </c>
      <c r="B1302" s="0" t="n">
        <f aca="false">B1301+A1302</f>
        <v>1299</v>
      </c>
      <c r="C1302" s="0" t="n">
        <f aca="false">$C$3+($G$1/($E$1*86.4))*SINH($E$1*B1302*86.4/$G$1)</f>
        <v>51546.3119549225</v>
      </c>
      <c r="D1302" s="0" t="n">
        <f aca="false">C1302-$C$3-B1302</f>
        <v>5643.31195492251</v>
      </c>
      <c r="E1302" s="0" t="n">
        <f aca="false">$E$1*B1302*86.4</f>
        <v>1101011.616</v>
      </c>
      <c r="F1302" s="0" t="n">
        <f aca="false">$G$1*G1302</f>
        <v>299610.852400643</v>
      </c>
      <c r="G1302" s="0" t="n">
        <f aca="false">TANH($E$1*B1302*86.4/$G$1)</f>
        <v>0.998702841335475</v>
      </c>
      <c r="H1302" s="0" t="n">
        <f aca="false">COSH($E$1*B1302*86.4/$G$1)</f>
        <v>19.6394506035203</v>
      </c>
      <c r="I1302" s="0" t="n">
        <f aca="false">(($G$1^2*1000)/($E$1*$I$1))*(H1302-1)</f>
        <v>18.0750183892748</v>
      </c>
      <c r="J1302" s="0" t="n">
        <f aca="false">$J$3*EXP(-$E$1*B1302*86.4/$G$1)</f>
        <v>25.4754835168621</v>
      </c>
      <c r="K1302" s="0" t="n">
        <f aca="false">J1301-J1302</f>
        <v>0.0720771451843447</v>
      </c>
    </row>
    <row r="1303" customFormat="false" ht="12.8" hidden="false" customHeight="false" outlineLevel="0" collapsed="false">
      <c r="A1303" s="0" t="n">
        <v>1</v>
      </c>
      <c r="B1303" s="0" t="n">
        <f aca="false">B1302+A1303</f>
        <v>1300</v>
      </c>
      <c r="C1303" s="0" t="n">
        <f aca="false">$C$3+($G$1/($E$1*86.4))*SINH($E$1*B1303*86.4/$G$1)</f>
        <v>51565.979139158</v>
      </c>
      <c r="D1303" s="0" t="n">
        <f aca="false">C1303-$C$3-B1303</f>
        <v>5661.97913915798</v>
      </c>
      <c r="E1303" s="0" t="n">
        <f aca="false">$E$1*B1303*86.4</f>
        <v>1101859.2</v>
      </c>
      <c r="F1303" s="0" t="n">
        <f aca="false">$G$1*G1303</f>
        <v>299613.043687541</v>
      </c>
      <c r="G1303" s="0" t="n">
        <f aca="false">TANH($E$1*B1303*86.4/$G$1)</f>
        <v>0.998710145625135</v>
      </c>
      <c r="H1303" s="0" t="n">
        <f aca="false">COSH($E$1*B1303*86.4/$G$1)</f>
        <v>19.6949440320027</v>
      </c>
      <c r="I1303" s="0" t="n">
        <f aca="false">(($G$1^2*1000)/($E$1*$I$1))*(H1303-1)</f>
        <v>18.1288313884687</v>
      </c>
      <c r="J1303" s="0" t="n">
        <f aca="false">$J$3*EXP(-$E$1*B1303*86.4/$G$1)</f>
        <v>25.4036097223978</v>
      </c>
      <c r="K1303" s="0" t="n">
        <f aca="false">J1302-J1303</f>
        <v>0.0718737944642278</v>
      </c>
    </row>
    <row r="1304" customFormat="false" ht="12.8" hidden="false" customHeight="false" outlineLevel="0" collapsed="false">
      <c r="A1304" s="0" t="n">
        <v>1</v>
      </c>
      <c r="B1304" s="0" t="n">
        <f aca="false">B1303+A1304</f>
        <v>1301</v>
      </c>
      <c r="C1304" s="0" t="n">
        <f aca="false">$C$3+($G$1/($E$1*86.4))*SINH($E$1*B1304*86.4/$G$1)</f>
        <v>51585.7018953896</v>
      </c>
      <c r="D1304" s="0" t="n">
        <f aca="false">C1304-$C$3-B1304</f>
        <v>5680.70189538958</v>
      </c>
      <c r="E1304" s="0" t="n">
        <f aca="false">$E$1*B1304*86.4</f>
        <v>1102706.784</v>
      </c>
      <c r="F1304" s="0" t="n">
        <f aca="false">$G$1*G1304</f>
        <v>299615.222643238</v>
      </c>
      <c r="G1304" s="0" t="n">
        <f aca="false">TANH($E$1*B1304*86.4/$G$1)</f>
        <v>0.998717408810794</v>
      </c>
      <c r="H1304" s="0" t="n">
        <f aca="false">COSH($E$1*B1304*86.4/$G$1)</f>
        <v>19.7505946697112</v>
      </c>
      <c r="I1304" s="0" t="n">
        <f aca="false">(($G$1^2*1000)/($E$1*$I$1))*(H1304-1)</f>
        <v>18.1827968363433</v>
      </c>
      <c r="J1304" s="0" t="n">
        <f aca="false">$J$3*EXP(-$E$1*B1304*86.4/$G$1)</f>
        <v>25.3319387049418</v>
      </c>
      <c r="K1304" s="0" t="n">
        <f aca="false">J1303-J1304</f>
        <v>0.0716710174559978</v>
      </c>
    </row>
    <row r="1305" customFormat="false" ht="12.8" hidden="false" customHeight="false" outlineLevel="0" collapsed="false">
      <c r="A1305" s="0" t="n">
        <v>1</v>
      </c>
      <c r="B1305" s="0" t="n">
        <f aca="false">B1304+A1305</f>
        <v>1302</v>
      </c>
      <c r="C1305" s="0" t="n">
        <f aca="false">$C$3+($G$1/($E$1*86.4))*SINH($E$1*B1305*86.4/$G$1)</f>
        <v>51605.4803810485</v>
      </c>
      <c r="D1305" s="0" t="n">
        <f aca="false">C1305-$C$3-B1305</f>
        <v>5699.48038104853</v>
      </c>
      <c r="E1305" s="0" t="n">
        <f aca="false">$E$1*B1305*86.4</f>
        <v>1103554.368</v>
      </c>
      <c r="F1305" s="0" t="n">
        <f aca="false">$G$1*G1305</f>
        <v>299617.389337039</v>
      </c>
      <c r="G1305" s="0" t="n">
        <f aca="false">TANH($E$1*B1305*86.4/$G$1)</f>
        <v>0.998724631123465</v>
      </c>
      <c r="H1305" s="0" t="n">
        <f aca="false">COSH($E$1*B1305*86.4/$G$1)</f>
        <v>19.8064029608612</v>
      </c>
      <c r="I1305" s="0" t="n">
        <f aca="false">(($G$1^2*1000)/($E$1*$I$1))*(H1305-1)</f>
        <v>18.2369151636625</v>
      </c>
      <c r="J1305" s="0" t="n">
        <f aca="false">$J$3*EXP(-$E$1*B1305*86.4/$G$1)</f>
        <v>25.2604698924008</v>
      </c>
      <c r="K1305" s="0" t="n">
        <f aca="false">J1304-J1305</f>
        <v>0.0714688125410561</v>
      </c>
    </row>
    <row r="1306" customFormat="false" ht="12.8" hidden="false" customHeight="false" outlineLevel="0" collapsed="false">
      <c r="A1306" s="0" t="n">
        <v>1</v>
      </c>
      <c r="B1306" s="0" t="n">
        <f aca="false">B1305+A1306</f>
        <v>1303</v>
      </c>
      <c r="C1306" s="0" t="n">
        <f aca="false">$C$3+($G$1/($E$1*86.4))*SINH($E$1*B1306*86.4/$G$1)</f>
        <v>51625.3147540109</v>
      </c>
      <c r="D1306" s="0" t="n">
        <f aca="false">C1306-$C$3-B1306</f>
        <v>5718.31475401092</v>
      </c>
      <c r="E1306" s="0" t="n">
        <f aca="false">$E$1*B1306*86.4</f>
        <v>1104401.952</v>
      </c>
      <c r="F1306" s="0" t="n">
        <f aca="false">$G$1*G1306</f>
        <v>299619.543837859</v>
      </c>
      <c r="G1306" s="0" t="n">
        <f aca="false">TANH($E$1*B1306*86.4/$G$1)</f>
        <v>0.998731812792862</v>
      </c>
      <c r="H1306" s="0" t="n">
        <f aca="false">COSH($E$1*B1306*86.4/$G$1)</f>
        <v>19.8623693509263</v>
      </c>
      <c r="I1306" s="0" t="n">
        <f aca="false">(($G$1^2*1000)/($E$1*$I$1))*(H1306-1)</f>
        <v>18.29118680241</v>
      </c>
      <c r="J1306" s="0" t="n">
        <f aca="false">$J$3*EXP(-$E$1*B1306*86.4/$G$1)</f>
        <v>25.1892027142955</v>
      </c>
      <c r="K1306" s="0" t="n">
        <f aca="false">J1305-J1306</f>
        <v>0.0712671781053267</v>
      </c>
    </row>
    <row r="1307" customFormat="false" ht="12.8" hidden="false" customHeight="false" outlineLevel="0" collapsed="false">
      <c r="A1307" s="0" t="n">
        <v>1</v>
      </c>
      <c r="B1307" s="0" t="n">
        <f aca="false">B1306+A1307</f>
        <v>1304</v>
      </c>
      <c r="C1307" s="0" t="n">
        <f aca="false">$C$3+($G$1/($E$1*86.4))*SINH($E$1*B1307*86.4/$G$1)</f>
        <v>51645.2051725989</v>
      </c>
      <c r="D1307" s="0" t="n">
        <f aca="false">C1307-$C$3-B1307</f>
        <v>5737.20517259892</v>
      </c>
      <c r="E1307" s="0" t="n">
        <f aca="false">$E$1*B1307*86.4</f>
        <v>1105249.536</v>
      </c>
      <c r="F1307" s="0" t="n">
        <f aca="false">$G$1*G1307</f>
        <v>299621.686214225</v>
      </c>
      <c r="G1307" s="0" t="n">
        <f aca="false">TANH($E$1*B1307*86.4/$G$1)</f>
        <v>0.998738954047415</v>
      </c>
      <c r="H1307" s="0" t="n">
        <f aca="false">COSH($E$1*B1307*86.4/$G$1)</f>
        <v>19.918494286642</v>
      </c>
      <c r="I1307" s="0" t="n">
        <f aca="false">(($G$1^2*1000)/($E$1*$I$1))*(H1307-1)</f>
        <v>18.3456121857938</v>
      </c>
      <c r="J1307" s="0" t="n">
        <f aca="false">$J$3*EXP(-$E$1*B1307*86.4/$G$1)</f>
        <v>25.1181366017561</v>
      </c>
      <c r="K1307" s="0" t="n">
        <f aca="false">J1306-J1307</f>
        <v>0.0710661125394054</v>
      </c>
    </row>
    <row r="1308" customFormat="false" ht="12.8" hidden="false" customHeight="false" outlineLevel="0" collapsed="false">
      <c r="A1308" s="0" t="n">
        <v>1</v>
      </c>
      <c r="B1308" s="0" t="n">
        <f aca="false">B1307+A1308</f>
        <v>1305</v>
      </c>
      <c r="C1308" s="0" t="n">
        <f aca="false">$C$3+($G$1/($E$1*86.4))*SINH($E$1*B1308*86.4/$G$1)</f>
        <v>51665.1517955821</v>
      </c>
      <c r="D1308" s="0" t="n">
        <f aca="false">C1308-$C$3-B1308</f>
        <v>5756.15179558208</v>
      </c>
      <c r="E1308" s="0" t="n">
        <f aca="false">$E$1*B1308*86.4</f>
        <v>1106097.12</v>
      </c>
      <c r="F1308" s="0" t="n">
        <f aca="false">$G$1*G1308</f>
        <v>299623.816534282</v>
      </c>
      <c r="G1308" s="0" t="n">
        <f aca="false">TANH($E$1*B1308*86.4/$G$1)</f>
        <v>0.998746055114272</v>
      </c>
      <c r="H1308" s="0" t="n">
        <f aca="false">COSH($E$1*B1308*86.4/$G$1)</f>
        <v>19.9747782160096</v>
      </c>
      <c r="I1308" s="0" t="n">
        <f aca="false">(($G$1^2*1000)/($E$1*$I$1))*(H1308-1)</f>
        <v>18.4001917482487</v>
      </c>
      <c r="J1308" s="0" t="n">
        <f aca="false">$J$3*EXP(-$E$1*B1308*86.4/$G$1)</f>
        <v>25.0472709875178</v>
      </c>
      <c r="K1308" s="0" t="n">
        <f aca="false">J1307-J1308</f>
        <v>0.0708656142382544</v>
      </c>
    </row>
    <row r="1309" customFormat="false" ht="12.8" hidden="false" customHeight="false" outlineLevel="0" collapsed="false">
      <c r="A1309" s="0" t="n">
        <v>1</v>
      </c>
      <c r="B1309" s="0" t="n">
        <f aca="false">B1308+A1309</f>
        <v>1306</v>
      </c>
      <c r="C1309" s="0" t="n">
        <f aca="false">$C$3+($G$1/($E$1*86.4))*SINH($E$1*B1309*86.4/$G$1)</f>
        <v>51685.1547821786</v>
      </c>
      <c r="D1309" s="0" t="n">
        <f aca="false">C1309-$C$3-B1309</f>
        <v>5775.15478217856</v>
      </c>
      <c r="E1309" s="0" t="n">
        <f aca="false">$E$1*B1309*86.4</f>
        <v>1106944.704</v>
      </c>
      <c r="F1309" s="0" t="n">
        <f aca="false">$G$1*G1309</f>
        <v>299625.934865792</v>
      </c>
      <c r="G1309" s="0" t="n">
        <f aca="false">TANH($E$1*B1309*86.4/$G$1)</f>
        <v>0.998753116219307</v>
      </c>
      <c r="H1309" s="0" t="n">
        <f aca="false">COSH($E$1*B1309*86.4/$G$1)</f>
        <v>20.0312215882994</v>
      </c>
      <c r="I1309" s="0" t="n">
        <f aca="false">(($G$1^2*1000)/($E$1*$I$1))*(H1309-1)</f>
        <v>18.4549259254405</v>
      </c>
      <c r="J1309" s="0" t="n">
        <f aca="false">$J$3*EXP(-$E$1*B1309*86.4/$G$1)</f>
        <v>24.9766053059163</v>
      </c>
      <c r="K1309" s="0" t="n">
        <f aca="false">J1308-J1309</f>
        <v>0.0706656816014899</v>
      </c>
    </row>
    <row r="1310" customFormat="false" ht="12.8" hidden="false" customHeight="false" outlineLevel="0" collapsed="false">
      <c r="A1310" s="0" t="n">
        <v>1</v>
      </c>
      <c r="B1310" s="0" t="n">
        <f aca="false">B1309+A1310</f>
        <v>1307</v>
      </c>
      <c r="C1310" s="0" t="n">
        <f aca="false">$C$3+($G$1/($E$1*86.4))*SINH($E$1*B1310*86.4/$G$1)</f>
        <v>51705.2142920565</v>
      </c>
      <c r="D1310" s="0" t="n">
        <f aca="false">C1310-$C$3-B1310</f>
        <v>5794.21429205648</v>
      </c>
      <c r="E1310" s="0" t="n">
        <f aca="false">$E$1*B1310*86.4</f>
        <v>1107792.288</v>
      </c>
      <c r="F1310" s="0" t="n">
        <f aca="false">$G$1*G1310</f>
        <v>299628.041276139</v>
      </c>
      <c r="G1310" s="0" t="n">
        <f aca="false">TANH($E$1*B1310*86.4/$G$1)</f>
        <v>0.998760137587129</v>
      </c>
      <c r="H1310" s="0" t="n">
        <f aca="false">COSH($E$1*B1310*86.4/$G$1)</f>
        <v>20.0878248540542</v>
      </c>
      <c r="I1310" s="0" t="n">
        <f aca="false">(($G$1^2*1000)/($E$1*$I$1))*(H1310-1)</f>
        <v>18.5098151542688</v>
      </c>
      <c r="J1310" s="0" t="n">
        <f aca="false">$J$3*EXP(-$E$1*B1310*86.4/$G$1)</f>
        <v>24.9061389928831</v>
      </c>
      <c r="K1310" s="0" t="n">
        <f aca="false">J1309-J1310</f>
        <v>0.0704663130332079</v>
      </c>
    </row>
    <row r="1311" customFormat="false" ht="12.8" hidden="false" customHeight="false" outlineLevel="0" collapsed="false">
      <c r="A1311" s="0" t="n">
        <v>1</v>
      </c>
      <c r="B1311" s="0" t="n">
        <f aca="false">B1310+A1311</f>
        <v>1308</v>
      </c>
      <c r="C1311" s="0" t="n">
        <f aca="false">$C$3+($G$1/($E$1*86.4))*SINH($E$1*B1311*86.4/$G$1)</f>
        <v>51725.3304853351</v>
      </c>
      <c r="D1311" s="0" t="n">
        <f aca="false">C1311-$C$3-B1311</f>
        <v>5813.33048533509</v>
      </c>
      <c r="E1311" s="0" t="n">
        <f aca="false">$E$1*B1311*86.4</f>
        <v>1108639.872</v>
      </c>
      <c r="F1311" s="0" t="n">
        <f aca="false">$G$1*G1311</f>
        <v>299630.135832326</v>
      </c>
      <c r="G1311" s="0" t="n">
        <f aca="false">TANH($E$1*B1311*86.4/$G$1)</f>
        <v>0.998767119441086</v>
      </c>
      <c r="H1311" s="0" t="n">
        <f aca="false">COSH($E$1*B1311*86.4/$G$1)</f>
        <v>20.1445884650935</v>
      </c>
      <c r="I1311" s="0" t="n">
        <f aca="false">(($G$1^2*1000)/($E$1*$I$1))*(H1311-1)</f>
        <v>18.5648598728713</v>
      </c>
      <c r="J1311" s="0" t="n">
        <f aca="false">$J$3*EXP(-$E$1*B1311*86.4/$G$1)</f>
        <v>24.8358714859411</v>
      </c>
      <c r="K1311" s="0" t="n">
        <f aca="false">J1310-J1311</f>
        <v>0.0702675069419989</v>
      </c>
    </row>
    <row r="1312" customFormat="false" ht="12.8" hidden="false" customHeight="false" outlineLevel="0" collapsed="false">
      <c r="A1312" s="0" t="n">
        <v>1</v>
      </c>
      <c r="B1312" s="0" t="n">
        <f aca="false">B1311+A1312</f>
        <v>1309</v>
      </c>
      <c r="C1312" s="0" t="n">
        <f aca="false">$C$3+($G$1/($E$1*86.4))*SINH($E$1*B1312*86.4/$G$1)</f>
        <v>51745.5035225861</v>
      </c>
      <c r="D1312" s="0" t="n">
        <f aca="false">C1312-$C$3-B1312</f>
        <v>5832.50352258611</v>
      </c>
      <c r="E1312" s="0" t="n">
        <f aca="false">$E$1*B1312*86.4</f>
        <v>1109487.456</v>
      </c>
      <c r="F1312" s="0" t="n">
        <f aca="false">$G$1*G1312</f>
        <v>299632.218600982</v>
      </c>
      <c r="G1312" s="0" t="n">
        <f aca="false">TANH($E$1*B1312*86.4/$G$1)</f>
        <v>0.998774062003275</v>
      </c>
      <c r="H1312" s="0" t="n">
        <f aca="false">COSH($E$1*B1312*86.4/$G$1)</f>
        <v>20.2015128745163</v>
      </c>
      <c r="I1312" s="0" t="n">
        <f aca="false">(($G$1^2*1000)/($E$1*$I$1))*(H1312-1)</f>
        <v>18.6200605206266</v>
      </c>
      <c r="J1312" s="0" t="n">
        <f aca="false">$J$3*EXP(-$E$1*B1312*86.4/$G$1)</f>
        <v>24.7658022242002</v>
      </c>
      <c r="K1312" s="0" t="n">
        <f aca="false">J1311-J1312</f>
        <v>0.0700692617409473</v>
      </c>
    </row>
    <row r="1313" customFormat="false" ht="12.8" hidden="false" customHeight="false" outlineLevel="0" collapsed="false">
      <c r="A1313" s="0" t="n">
        <v>1</v>
      </c>
      <c r="B1313" s="0" t="n">
        <f aca="false">B1312+A1313</f>
        <v>1310</v>
      </c>
      <c r="C1313" s="0" t="n">
        <f aca="false">$C$3+($G$1/($E$1*86.4))*SINH($E$1*B1313*86.4/$G$1)</f>
        <v>51765.733564835</v>
      </c>
      <c r="D1313" s="0" t="n">
        <f aca="false">C1313-$C$3-B1313</f>
        <v>5851.73356483503</v>
      </c>
      <c r="E1313" s="0" t="n">
        <f aca="false">$E$1*B1313*86.4</f>
        <v>1110335.04</v>
      </c>
      <c r="F1313" s="0" t="n">
        <f aca="false">$G$1*G1313</f>
        <v>299634.289648364</v>
      </c>
      <c r="G1313" s="0" t="n">
        <f aca="false">TANH($E$1*B1313*86.4/$G$1)</f>
        <v>0.998780965494548</v>
      </c>
      <c r="H1313" s="0" t="n">
        <f aca="false">COSH($E$1*B1313*86.4/$G$1)</f>
        <v>20.2585985367055</v>
      </c>
      <c r="I1313" s="0" t="n">
        <f aca="false">(($G$1^2*1000)/($E$1*$I$1))*(H1313-1)</f>
        <v>18.6754175381579</v>
      </c>
      <c r="J1313" s="0" t="n">
        <f aca="false">$J$3*EXP(-$E$1*B1313*86.4/$G$1)</f>
        <v>24.6959306483525</v>
      </c>
      <c r="K1313" s="0" t="n">
        <f aca="false">J1312-J1313</f>
        <v>0.0698715758476318</v>
      </c>
    </row>
    <row r="1314" customFormat="false" ht="12.8" hidden="false" customHeight="false" outlineLevel="0" collapsed="false">
      <c r="A1314" s="0" t="n">
        <v>1</v>
      </c>
      <c r="B1314" s="0" t="n">
        <f aca="false">B1313+A1314</f>
        <v>1311</v>
      </c>
      <c r="C1314" s="0" t="n">
        <f aca="false">$C$3+($G$1/($E$1*86.4))*SINH($E$1*B1314*86.4/$G$1)</f>
        <v>51786.0207735623</v>
      </c>
      <c r="D1314" s="0" t="n">
        <f aca="false">C1314-$C$3-B1314</f>
        <v>5871.02077356232</v>
      </c>
      <c r="E1314" s="0" t="n">
        <f aca="false">$E$1*B1314*86.4</f>
        <v>1111182.624</v>
      </c>
      <c r="F1314" s="0" t="n">
        <f aca="false">$G$1*G1314</f>
        <v>299636.349040355</v>
      </c>
      <c r="G1314" s="0" t="n">
        <f aca="false">TANH($E$1*B1314*86.4/$G$1)</f>
        <v>0.998787830134517</v>
      </c>
      <c r="H1314" s="0" t="n">
        <f aca="false">COSH($E$1*B1314*86.4/$G$1)</f>
        <v>20.3158459073308</v>
      </c>
      <c r="I1314" s="0" t="n">
        <f aca="false">(($G$1^2*1000)/($E$1*$I$1))*(H1314-1)</f>
        <v>18.7309313673367</v>
      </c>
      <c r="J1314" s="0" t="n">
        <f aca="false">$J$3*EXP(-$E$1*B1314*86.4/$G$1)</f>
        <v>24.6262562006685</v>
      </c>
      <c r="K1314" s="0" t="n">
        <f aca="false">J1313-J1314</f>
        <v>0.0696744476840792</v>
      </c>
    </row>
    <row r="1315" customFormat="false" ht="12.8" hidden="false" customHeight="false" outlineLevel="0" collapsed="false">
      <c r="A1315" s="0" t="n">
        <v>1</v>
      </c>
      <c r="B1315" s="0" t="n">
        <f aca="false">B1314+A1315</f>
        <v>1312</v>
      </c>
      <c r="C1315" s="0" t="n">
        <f aca="false">$C$3+($G$1/($E$1*86.4))*SINH($E$1*B1315*86.4/$G$1)</f>
        <v>51806.3653107048</v>
      </c>
      <c r="D1315" s="0" t="n">
        <f aca="false">C1315-$C$3-B1315</f>
        <v>5890.36531070481</v>
      </c>
      <c r="E1315" s="0" t="n">
        <f aca="false">$E$1*B1315*86.4</f>
        <v>1112030.208</v>
      </c>
      <c r="F1315" s="0" t="n">
        <f aca="false">$G$1*G1315</f>
        <v>299638.396842469</v>
      </c>
      <c r="G1315" s="0" t="n">
        <f aca="false">TANH($E$1*B1315*86.4/$G$1)</f>
        <v>0.998794656141564</v>
      </c>
      <c r="H1315" s="0" t="n">
        <f aca="false">COSH($E$1*B1315*86.4/$G$1)</f>
        <v>20.3732554433531</v>
      </c>
      <c r="I1315" s="0" t="n">
        <f aca="false">(($G$1^2*1000)/($E$1*$I$1))*(H1315-1)</f>
        <v>18.7866024512863</v>
      </c>
      <c r="J1315" s="0" t="n">
        <f aca="false">$J$3*EXP(-$E$1*B1315*86.4/$G$1)</f>
        <v>24.5567783249917</v>
      </c>
      <c r="K1315" s="0" t="n">
        <f aca="false">J1314-J1315</f>
        <v>0.0694778756767747</v>
      </c>
    </row>
    <row r="1316" customFormat="false" ht="12.8" hidden="false" customHeight="false" outlineLevel="0" collapsed="false">
      <c r="A1316" s="0" t="n">
        <v>1</v>
      </c>
      <c r="B1316" s="0" t="n">
        <f aca="false">B1315+A1316</f>
        <v>1313</v>
      </c>
      <c r="C1316" s="0" t="n">
        <f aca="false">$C$3+($G$1/($E$1*86.4))*SINH($E$1*B1316*86.4/$G$1)</f>
        <v>51826.7673386569</v>
      </c>
      <c r="D1316" s="0" t="n">
        <f aca="false">C1316-$C$3-B1316</f>
        <v>5909.7673386569</v>
      </c>
      <c r="E1316" s="0" t="n">
        <f aca="false">$E$1*B1316*86.4</f>
        <v>1112877.792</v>
      </c>
      <c r="F1316" s="0" t="n">
        <f aca="false">$G$1*G1316</f>
        <v>299640.433119854</v>
      </c>
      <c r="G1316" s="0" t="n">
        <f aca="false">TANH($E$1*B1316*86.4/$G$1)</f>
        <v>0.998801443732847</v>
      </c>
      <c r="H1316" s="0" t="n">
        <f aca="false">COSH($E$1*B1316*86.4/$G$1)</f>
        <v>20.4308276030273</v>
      </c>
      <c r="I1316" s="0" t="n">
        <f aca="false">(($G$1^2*1000)/($E$1*$I$1))*(H1316-1)</f>
        <v>18.8424312343849</v>
      </c>
      <c r="J1316" s="0" t="n">
        <f aca="false">$J$3*EXP(-$E$1*B1316*86.4/$G$1)</f>
        <v>24.4874964667351</v>
      </c>
      <c r="K1316" s="0" t="n">
        <f aca="false">J1315-J1316</f>
        <v>0.0692818582566162</v>
      </c>
    </row>
    <row r="1317" customFormat="false" ht="12.8" hidden="false" customHeight="false" outlineLevel="0" collapsed="false">
      <c r="A1317" s="0" t="n">
        <v>1</v>
      </c>
      <c r="B1317" s="0" t="n">
        <f aca="false">B1316+A1317</f>
        <v>1314</v>
      </c>
      <c r="C1317" s="0" t="n">
        <f aca="false">$C$3+($G$1/($E$1*86.4))*SINH($E$1*B1317*86.4/$G$1)</f>
        <v>51847.2270202719</v>
      </c>
      <c r="D1317" s="0" t="n">
        <f aca="false">C1317-$C$3-B1317</f>
        <v>5929.22702027192</v>
      </c>
      <c r="E1317" s="0" t="n">
        <f aca="false">$E$1*B1317*86.4</f>
        <v>1113725.376</v>
      </c>
      <c r="F1317" s="0" t="n">
        <f aca="false">$G$1*G1317</f>
        <v>299642.457937291</v>
      </c>
      <c r="G1317" s="0" t="n">
        <f aca="false">TANH($E$1*B1317*86.4/$G$1)</f>
        <v>0.998808193124304</v>
      </c>
      <c r="H1317" s="0" t="n">
        <f aca="false">COSH($E$1*B1317*86.4/$G$1)</f>
        <v>20.4885628459067</v>
      </c>
      <c r="I1317" s="0" t="n">
        <f aca="false">(($G$1^2*1000)/($E$1*$I$1))*(H1317-1)</f>
        <v>18.8984181622699</v>
      </c>
      <c r="J1317" s="0" t="n">
        <f aca="false">$J$3*EXP(-$E$1*B1317*86.4/$G$1)</f>
        <v>24.4184100728761</v>
      </c>
      <c r="K1317" s="0" t="n">
        <f aca="false">J1316-J1317</f>
        <v>0.0690863938589637</v>
      </c>
    </row>
    <row r="1318" customFormat="false" ht="12.8" hidden="false" customHeight="false" outlineLevel="0" collapsed="false">
      <c r="A1318" s="0" t="n">
        <v>1</v>
      </c>
      <c r="B1318" s="0" t="n">
        <f aca="false">B1317+A1318</f>
        <v>1315</v>
      </c>
      <c r="C1318" s="0" t="n">
        <f aca="false">$C$3+($G$1/($E$1*86.4))*SINH($E$1*B1318*86.4/$G$1)</f>
        <v>51867.7445188634</v>
      </c>
      <c r="D1318" s="0" t="n">
        <f aca="false">C1318-$C$3-B1318</f>
        <v>5948.74451886339</v>
      </c>
      <c r="E1318" s="0" t="n">
        <f aca="false">$E$1*B1318*86.4</f>
        <v>1114572.96</v>
      </c>
      <c r="F1318" s="0" t="n">
        <f aca="false">$G$1*G1318</f>
        <v>299644.4713592</v>
      </c>
      <c r="G1318" s="0" t="n">
        <f aca="false">TANH($E$1*B1318*86.4/$G$1)</f>
        <v>0.998814904530665</v>
      </c>
      <c r="H1318" s="0" t="n">
        <f aca="false">COSH($E$1*B1318*86.4/$G$1)</f>
        <v>20.5464616328463</v>
      </c>
      <c r="I1318" s="0" t="n">
        <f aca="false">(($G$1^2*1000)/($E$1*$I$1))*(H1318-1)</f>
        <v>18.9545636818407</v>
      </c>
      <c r="J1318" s="0" t="n">
        <f aca="false">$J$3*EXP(-$E$1*B1318*86.4/$G$1)</f>
        <v>24.3495185919525</v>
      </c>
      <c r="K1318" s="0" t="n">
        <f aca="false">J1317-J1318</f>
        <v>0.0688914809235861</v>
      </c>
    </row>
    <row r="1319" customFormat="false" ht="12.8" hidden="false" customHeight="false" outlineLevel="0" collapsed="false">
      <c r="A1319" s="0" t="n">
        <v>1</v>
      </c>
      <c r="B1319" s="0" t="n">
        <f aca="false">B1318+A1319</f>
        <v>1316</v>
      </c>
      <c r="C1319" s="0" t="n">
        <f aca="false">$C$3+($G$1/($E$1*86.4))*SINH($E$1*B1319*86.4/$G$1)</f>
        <v>51888.3199982063</v>
      </c>
      <c r="D1319" s="0" t="n">
        <f aca="false">C1319-$C$3-B1319</f>
        <v>5968.31999820634</v>
      </c>
      <c r="E1319" s="0" t="n">
        <f aca="false">$E$1*B1319*86.4</f>
        <v>1115420.544</v>
      </c>
      <c r="F1319" s="0" t="n">
        <f aca="false">$G$1*G1319</f>
        <v>299646.473449636</v>
      </c>
      <c r="G1319" s="0" t="n">
        <f aca="false">TANH($E$1*B1319*86.4/$G$1)</f>
        <v>0.998821578165453</v>
      </c>
      <c r="H1319" s="0" t="n">
        <f aca="false">COSH($E$1*B1319*86.4/$G$1)</f>
        <v>20.6045244260065</v>
      </c>
      <c r="I1319" s="0" t="n">
        <f aca="false">(($G$1^2*1000)/($E$1*$I$1))*(H1319-1)</f>
        <v>19.0108682412629</v>
      </c>
      <c r="J1319" s="0" t="n">
        <f aca="false">$J$3*EXP(-$E$1*B1319*86.4/$G$1)</f>
        <v>24.2808214740579</v>
      </c>
      <c r="K1319" s="0" t="n">
        <f aca="false">J1318-J1319</f>
        <v>0.0686971178946436</v>
      </c>
    </row>
    <row r="1320" customFormat="false" ht="12.8" hidden="false" customHeight="false" outlineLevel="0" collapsed="false">
      <c r="A1320" s="0" t="n">
        <v>1</v>
      </c>
      <c r="B1320" s="0" t="n">
        <f aca="false">B1319+A1320</f>
        <v>1317</v>
      </c>
      <c r="C1320" s="0" t="n">
        <f aca="false">$C$3+($G$1/($E$1*86.4))*SINH($E$1*B1320*86.4/$G$1)</f>
        <v>51908.9536225386</v>
      </c>
      <c r="D1320" s="0" t="n">
        <f aca="false">C1320-$C$3-B1320</f>
        <v>5987.95362253861</v>
      </c>
      <c r="E1320" s="0" t="n">
        <f aca="false">$E$1*B1320*86.4</f>
        <v>1116268.128</v>
      </c>
      <c r="F1320" s="0" t="n">
        <f aca="false">$G$1*G1320</f>
        <v>299648.464272299</v>
      </c>
      <c r="G1320" s="0" t="n">
        <f aca="false">TANH($E$1*B1320*86.4/$G$1)</f>
        <v>0.998828214240996</v>
      </c>
      <c r="H1320" s="0" t="n">
        <f aca="false">COSH($E$1*B1320*86.4/$G$1)</f>
        <v>20.6627516888567</v>
      </c>
      <c r="I1320" s="0" t="n">
        <f aca="false">(($G$1^2*1000)/($E$1*$I$1))*(H1320-1)</f>
        <v>19.0673322899713</v>
      </c>
      <c r="J1320" s="0" t="n">
        <f aca="false">$J$3*EXP(-$E$1*B1320*86.4/$G$1)</f>
        <v>24.2123181708372</v>
      </c>
      <c r="K1320" s="0" t="n">
        <f aca="false">J1319-J1320</f>
        <v>0.068503303220659</v>
      </c>
    </row>
    <row r="1321" customFormat="false" ht="12.8" hidden="false" customHeight="false" outlineLevel="0" collapsed="false">
      <c r="A1321" s="0" t="n">
        <v>1</v>
      </c>
      <c r="B1321" s="0" t="n">
        <f aca="false">B1320+A1321</f>
        <v>1318</v>
      </c>
      <c r="C1321" s="0" t="n">
        <f aca="false">$C$3+($G$1/($E$1*86.4))*SINH($E$1*B1321*86.4/$G$1)</f>
        <v>51929.6455565622</v>
      </c>
      <c r="D1321" s="0" t="n">
        <f aca="false">C1321-$C$3-B1321</f>
        <v>6007.64555656219</v>
      </c>
      <c r="E1321" s="0" t="n">
        <f aca="false">$E$1*B1321*86.4</f>
        <v>1117115.712</v>
      </c>
      <c r="F1321" s="0" t="n">
        <f aca="false">$G$1*G1321</f>
        <v>299650.443890529</v>
      </c>
      <c r="G1321" s="0" t="n">
        <f aca="false">TANH($E$1*B1321*86.4/$G$1)</f>
        <v>0.99883481296843</v>
      </c>
      <c r="H1321" s="0" t="n">
        <f aca="false">COSH($E$1*B1321*86.4/$G$1)</f>
        <v>20.7211438861795</v>
      </c>
      <c r="I1321" s="0" t="n">
        <f aca="false">(($G$1^2*1000)/($E$1*$I$1))*(H1321-1)</f>
        <v>19.1239562786741</v>
      </c>
      <c r="J1321" s="0" t="n">
        <f aca="false">$J$3*EXP(-$E$1*B1321*86.4/$G$1)</f>
        <v>24.1440081354826</v>
      </c>
      <c r="K1321" s="0" t="n">
        <f aca="false">J1320-J1321</f>
        <v>0.068310035354628</v>
      </c>
    </row>
    <row r="1322" customFormat="false" ht="12.8" hidden="false" customHeight="false" outlineLevel="0" collapsed="false">
      <c r="A1322" s="0" t="n">
        <v>1</v>
      </c>
      <c r="B1322" s="0" t="n">
        <f aca="false">B1321+A1322</f>
        <v>1319</v>
      </c>
      <c r="C1322" s="0" t="n">
        <f aca="false">$C$3+($G$1/($E$1*86.4))*SINH($E$1*B1322*86.4/$G$1)</f>
        <v>51950.3959654445</v>
      </c>
      <c r="D1322" s="0" t="n">
        <f aca="false">C1322-$C$3-B1322</f>
        <v>6027.39596544448</v>
      </c>
      <c r="E1322" s="0" t="n">
        <f aca="false">$E$1*B1322*86.4</f>
        <v>1117963.296</v>
      </c>
      <c r="F1322" s="0" t="n">
        <f aca="false">$G$1*G1322</f>
        <v>299652.412367312</v>
      </c>
      <c r="G1322" s="0" t="n">
        <f aca="false">TANH($E$1*B1322*86.4/$G$1)</f>
        <v>0.998841374557706</v>
      </c>
      <c r="H1322" s="0" t="n">
        <f aca="false">COSH($E$1*B1322*86.4/$G$1)</f>
        <v>20.7797014840737</v>
      </c>
      <c r="I1322" s="0" t="n">
        <f aca="false">(($G$1^2*1000)/($E$1*$I$1))*(H1322-1)</f>
        <v>19.1807406593559</v>
      </c>
      <c r="J1322" s="0" t="n">
        <f aca="false">$J$3*EXP(-$E$1*B1322*86.4/$G$1)</f>
        <v>24.0758908227288</v>
      </c>
      <c r="K1322" s="0" t="n">
        <f aca="false">J1321-J1322</f>
        <v>0.0681173127537988</v>
      </c>
    </row>
    <row r="1323" customFormat="false" ht="12.8" hidden="false" customHeight="false" outlineLevel="0" collapsed="false">
      <c r="A1323" s="0" t="n">
        <v>1</v>
      </c>
      <c r="B1323" s="0" t="n">
        <f aca="false">B1322+A1323</f>
        <v>1320</v>
      </c>
      <c r="C1323" s="0" t="n">
        <f aca="false">$C$3+($G$1/($E$1*86.4))*SINH($E$1*B1323*86.4/$G$1)</f>
        <v>51971.2050148197</v>
      </c>
      <c r="D1323" s="0" t="n">
        <f aca="false">C1323-$C$3-B1323</f>
        <v>6047.20501481966</v>
      </c>
      <c r="E1323" s="0" t="n">
        <f aca="false">$E$1*B1323*86.4</f>
        <v>1118810.88</v>
      </c>
      <c r="F1323" s="0" t="n">
        <f aca="false">$G$1*G1323</f>
        <v>299654.36976528</v>
      </c>
      <c r="G1323" s="0" t="n">
        <f aca="false">TANH($E$1*B1323*86.4/$G$1)</f>
        <v>0.998847899217599</v>
      </c>
      <c r="H1323" s="0" t="n">
        <f aca="false">COSH($E$1*B1323*86.4/$G$1)</f>
        <v>20.8384249499585</v>
      </c>
      <c r="I1323" s="0" t="n">
        <f aca="false">(($G$1^2*1000)/($E$1*$I$1))*(H1323-1)</f>
        <v>19.2376858852817</v>
      </c>
      <c r="J1323" s="0" t="n">
        <f aca="false">$J$3*EXP(-$E$1*B1323*86.4/$G$1)</f>
        <v>24.007965688849</v>
      </c>
      <c r="K1323" s="0" t="n">
        <f aca="false">J1322-J1323</f>
        <v>0.0679251338798181</v>
      </c>
    </row>
    <row r="1324" customFormat="false" ht="12.8" hidden="false" customHeight="false" outlineLevel="0" collapsed="false">
      <c r="A1324" s="0" t="n">
        <v>1</v>
      </c>
      <c r="B1324" s="0" t="n">
        <f aca="false">B1323+A1324</f>
        <v>1321</v>
      </c>
      <c r="C1324" s="0" t="n">
        <f aca="false">$C$3+($G$1/($E$1*86.4))*SINH($E$1*B1324*86.4/$G$1)</f>
        <v>51992.07287079</v>
      </c>
      <c r="D1324" s="0" t="n">
        <f aca="false">C1324-$C$3-B1324</f>
        <v>6067.07287078996</v>
      </c>
      <c r="E1324" s="0" t="n">
        <f aca="false">$E$1*B1324*86.4</f>
        <v>1119658.464</v>
      </c>
      <c r="F1324" s="0" t="n">
        <f aca="false">$G$1*G1324</f>
        <v>299656.316146714</v>
      </c>
      <c r="G1324" s="0" t="n">
        <f aca="false">TANH($E$1*B1324*86.4/$G$1)</f>
        <v>0.998854387155714</v>
      </c>
      <c r="H1324" s="0" t="n">
        <f aca="false">COSH($E$1*B1324*86.4/$G$1)</f>
        <v>20.8973147525771</v>
      </c>
      <c r="I1324" s="0" t="n">
        <f aca="false">(($G$1^2*1000)/($E$1*$I$1))*(H1324-1)</f>
        <v>19.2947924110003</v>
      </c>
      <c r="J1324" s="0" t="n">
        <f aca="false">$J$3*EXP(-$E$1*B1324*86.4/$G$1)</f>
        <v>23.9402321916503</v>
      </c>
      <c r="K1324" s="0" t="n">
        <f aca="false">J1323-J1324</f>
        <v>0.0677334971986845</v>
      </c>
    </row>
    <row r="1325" customFormat="false" ht="12.8" hidden="false" customHeight="false" outlineLevel="0" collapsed="false">
      <c r="A1325" s="0" t="n">
        <v>1</v>
      </c>
      <c r="B1325" s="0" t="n">
        <f aca="false">B1324+A1325</f>
        <v>1322</v>
      </c>
      <c r="C1325" s="0" t="n">
        <f aca="false">$C$3+($G$1/($E$1*86.4))*SINH($E$1*B1325*86.4/$G$1)</f>
        <v>52012.9996999271</v>
      </c>
      <c r="D1325" s="0" t="n">
        <f aca="false">C1325-$C$3-B1325</f>
        <v>6086.99969992707</v>
      </c>
      <c r="E1325" s="0" t="n">
        <f aca="false">$E$1*B1325*86.4</f>
        <v>1120506.048</v>
      </c>
      <c r="F1325" s="0" t="n">
        <f aca="false">$G$1*G1325</f>
        <v>299658.251573546</v>
      </c>
      <c r="G1325" s="0" t="n">
        <f aca="false">TANH($E$1*B1325*86.4/$G$1)</f>
        <v>0.998860838578488</v>
      </c>
      <c r="H1325" s="0" t="n">
        <f aca="false">COSH($E$1*B1325*86.4/$G$1)</f>
        <v>20.9563713620004</v>
      </c>
      <c r="I1325" s="0" t="n">
        <f aca="false">(($G$1^2*1000)/($E$1*$I$1))*(H1325-1)</f>
        <v>19.3520606923483</v>
      </c>
      <c r="J1325" s="0" t="n">
        <f aca="false">$J$3*EXP(-$E$1*B1325*86.4/$G$1)</f>
        <v>23.8726897904696</v>
      </c>
      <c r="K1325" s="0" t="n">
        <f aca="false">J1324-J1325</f>
        <v>0.0675424011807095</v>
      </c>
    </row>
    <row r="1326" customFormat="false" ht="12.8" hidden="false" customHeight="false" outlineLevel="0" collapsed="false">
      <c r="A1326" s="0" t="n">
        <v>1</v>
      </c>
      <c r="B1326" s="0" t="n">
        <f aca="false">B1325+A1326</f>
        <v>1323</v>
      </c>
      <c r="C1326" s="0" t="n">
        <f aca="false">$C$3+($G$1/($E$1*86.4))*SINH($E$1*B1326*86.4/$G$1)</f>
        <v>52033.9856692734</v>
      </c>
      <c r="D1326" s="0" t="n">
        <f aca="false">C1326-$C$3-B1326</f>
        <v>6106.98566927335</v>
      </c>
      <c r="E1326" s="0" t="n">
        <f aca="false">$E$1*B1326*86.4</f>
        <v>1121353.632</v>
      </c>
      <c r="F1326" s="0" t="n">
        <f aca="false">$G$1*G1326</f>
        <v>299660.176107361</v>
      </c>
      <c r="G1326" s="0" t="n">
        <f aca="false">TANH($E$1*B1326*86.4/$G$1)</f>
        <v>0.998867253691204</v>
      </c>
      <c r="H1326" s="0" t="n">
        <f aca="false">COSH($E$1*B1326*86.4/$G$1)</f>
        <v>21.0155952496308</v>
      </c>
      <c r="I1326" s="0" t="n">
        <f aca="false">(($G$1^2*1000)/($E$1*$I$1))*(H1326-1)</f>
        <v>19.4094911864532</v>
      </c>
      <c r="J1326" s="0" t="n">
        <f aca="false">$J$3*EXP(-$E$1*B1326*86.4/$G$1)</f>
        <v>23.8053379461691</v>
      </c>
      <c r="K1326" s="0" t="n">
        <f aca="false">J1325-J1326</f>
        <v>0.0673518443005179</v>
      </c>
    </row>
    <row r="1327" customFormat="false" ht="12.8" hidden="false" customHeight="false" outlineLevel="0" collapsed="false">
      <c r="A1327" s="0" t="n">
        <v>1</v>
      </c>
      <c r="B1327" s="0" t="n">
        <f aca="false">B1326+A1327</f>
        <v>1324</v>
      </c>
      <c r="C1327" s="0" t="n">
        <f aca="false">$C$3+($G$1/($E$1*86.4))*SINH($E$1*B1327*86.4/$G$1)</f>
        <v>52055.0309463433</v>
      </c>
      <c r="D1327" s="0" t="n">
        <f aca="false">C1327-$C$3-B1327</f>
        <v>6127.03094634329</v>
      </c>
      <c r="E1327" s="0" t="n">
        <f aca="false">$E$1*B1327*86.4</f>
        <v>1122201.216</v>
      </c>
      <c r="F1327" s="0" t="n">
        <f aca="false">$G$1*G1327</f>
        <v>299662.089809397</v>
      </c>
      <c r="G1327" s="0" t="n">
        <f aca="false">TANH($E$1*B1327*86.4/$G$1)</f>
        <v>0.998873632697992</v>
      </c>
      <c r="H1327" s="0" t="n">
        <f aca="false">COSH($E$1*B1327*86.4/$G$1)</f>
        <v>21.0749868882059</v>
      </c>
      <c r="I1327" s="0" t="n">
        <f aca="false">(($G$1^2*1000)/($E$1*$I$1))*(H1327-1)</f>
        <v>19.4670843517373</v>
      </c>
      <c r="J1327" s="0" t="n">
        <f aca="false">$J$3*EXP(-$E$1*B1327*86.4/$G$1)</f>
        <v>23.738176121132</v>
      </c>
      <c r="K1327" s="0" t="n">
        <f aca="false">J1326-J1327</f>
        <v>0.0671618250370685</v>
      </c>
    </row>
    <row r="1328" customFormat="false" ht="12.8" hidden="false" customHeight="false" outlineLevel="0" collapsed="false">
      <c r="A1328" s="0" t="n">
        <v>1</v>
      </c>
      <c r="B1328" s="0" t="n">
        <f aca="false">B1327+A1328</f>
        <v>1325</v>
      </c>
      <c r="C1328" s="0" t="n">
        <f aca="false">$C$3+($G$1/($E$1*86.4))*SINH($E$1*B1328*86.4/$G$1)</f>
        <v>52076.1356991248</v>
      </c>
      <c r="D1328" s="0" t="n">
        <f aca="false">C1328-$C$3-B1328</f>
        <v>6147.13569912475</v>
      </c>
      <c r="E1328" s="0" t="n">
        <f aca="false">$E$1*B1328*86.4</f>
        <v>1123048.8</v>
      </c>
      <c r="F1328" s="0" t="n">
        <f aca="false">$G$1*G1328</f>
        <v>299663.992740551</v>
      </c>
      <c r="G1328" s="0" t="n">
        <f aca="false">TANH($E$1*B1328*86.4/$G$1)</f>
        <v>0.998879975801836</v>
      </c>
      <c r="H1328" s="0" t="n">
        <f aca="false">COSH($E$1*B1328*86.4/$G$1)</f>
        <v>21.1345467518024</v>
      </c>
      <c r="I1328" s="0" t="n">
        <f aca="false">(($G$1^2*1000)/($E$1*$I$1))*(H1328-1)</f>
        <v>19.5248406479217</v>
      </c>
      <c r="J1328" s="0" t="n">
        <f aca="false">$J$3*EXP(-$E$1*B1328*86.4/$G$1)</f>
        <v>23.6712037792584</v>
      </c>
      <c r="K1328" s="0" t="n">
        <f aca="false">J1327-J1328</f>
        <v>0.0669723418735622</v>
      </c>
    </row>
    <row r="1329" customFormat="false" ht="12.8" hidden="false" customHeight="false" outlineLevel="0" collapsed="false">
      <c r="A1329" s="0" t="n">
        <v>1</v>
      </c>
      <c r="B1329" s="0" t="n">
        <f aca="false">B1328+A1329</f>
        <v>1326</v>
      </c>
      <c r="C1329" s="0" t="n">
        <f aca="false">$C$3+($G$1/($E$1*86.4))*SINH($E$1*B1329*86.4/$G$1)</f>
        <v>52097.3000960804</v>
      </c>
      <c r="D1329" s="0" t="n">
        <f aca="false">C1329-$C$3-B1329</f>
        <v>6167.30009608036</v>
      </c>
      <c r="E1329" s="0" t="n">
        <f aca="false">$E$1*B1329*86.4</f>
        <v>1123896.384</v>
      </c>
      <c r="F1329" s="0" t="n">
        <f aca="false">$G$1*G1329</f>
        <v>299665.884961375</v>
      </c>
      <c r="G1329" s="0" t="n">
        <f aca="false">TANH($E$1*B1329*86.4/$G$1)</f>
        <v>0.998886283204582</v>
      </c>
      <c r="H1329" s="0" t="n">
        <f aca="false">COSH($E$1*B1329*86.4/$G$1)</f>
        <v>21.1942753158399</v>
      </c>
      <c r="I1329" s="0" t="n">
        <f aca="false">(($G$1^2*1000)/($E$1*$I$1))*(H1329-1)</f>
        <v>19.5827605360292</v>
      </c>
      <c r="J1329" s="0" t="n">
        <f aca="false">$J$3*EXP(-$E$1*B1329*86.4/$G$1)</f>
        <v>23.6044203859609</v>
      </c>
      <c r="K1329" s="0" t="n">
        <f aca="false">J1328-J1329</f>
        <v>0.0667833932975235</v>
      </c>
    </row>
    <row r="1330" customFormat="false" ht="12.8" hidden="false" customHeight="false" outlineLevel="0" collapsed="false">
      <c r="A1330" s="0" t="n">
        <v>1</v>
      </c>
      <c r="B1330" s="0" t="n">
        <f aca="false">B1329+A1330</f>
        <v>1327</v>
      </c>
      <c r="C1330" s="0" t="n">
        <f aca="false">$C$3+($G$1/($E$1*86.4))*SINH($E$1*B1330*86.4/$G$1)</f>
        <v>52118.5243061488</v>
      </c>
      <c r="D1330" s="0" t="n">
        <f aca="false">C1330-$C$3-B1330</f>
        <v>6187.52430614882</v>
      </c>
      <c r="E1330" s="0" t="n">
        <f aca="false">$E$1*B1330*86.4</f>
        <v>1124743.968</v>
      </c>
      <c r="F1330" s="0" t="n">
        <f aca="false">$G$1*G1330</f>
        <v>299667.766532084</v>
      </c>
      <c r="G1330" s="0" t="n">
        <f aca="false">TANH($E$1*B1330*86.4/$G$1)</f>
        <v>0.998892555106946</v>
      </c>
      <c r="H1330" s="0" t="n">
        <f aca="false">COSH($E$1*B1330*86.4/$G$1)</f>
        <v>21.2541730570843</v>
      </c>
      <c r="I1330" s="0" t="n">
        <f aca="false">(($G$1^2*1000)/($E$1*$I$1))*(H1330-1)</f>
        <v>19.6408444783888</v>
      </c>
      <c r="J1330" s="0" t="n">
        <f aca="false">$J$3*EXP(-$E$1*B1330*86.4/$G$1)</f>
        <v>23.5378254081602</v>
      </c>
      <c r="K1330" s="0" t="n">
        <f aca="false">J1329-J1330</f>
        <v>0.0665949778007082</v>
      </c>
    </row>
    <row r="1331" customFormat="false" ht="12.8" hidden="false" customHeight="false" outlineLevel="0" collapsed="false">
      <c r="A1331" s="0" t="n">
        <v>1</v>
      </c>
      <c r="B1331" s="0" t="n">
        <f aca="false">B1330+A1331</f>
        <v>1328</v>
      </c>
      <c r="C1331" s="0" t="n">
        <f aca="false">$C$3+($G$1/($E$1*86.4))*SINH($E$1*B1331*86.4/$G$1)</f>
        <v>52139.8084987463</v>
      </c>
      <c r="D1331" s="0" t="n">
        <f aca="false">C1331-$C$3-B1331</f>
        <v>6207.80849874629</v>
      </c>
      <c r="E1331" s="0" t="n">
        <f aca="false">$E$1*B1331*86.4</f>
        <v>1125591.552</v>
      </c>
      <c r="F1331" s="0" t="n">
        <f aca="false">$G$1*G1331</f>
        <v>299669.637512554</v>
      </c>
      <c r="G1331" s="0" t="n">
        <f aca="false">TANH($E$1*B1331*86.4/$G$1)</f>
        <v>0.998898791708514</v>
      </c>
      <c r="H1331" s="0" t="n">
        <f aca="false">COSH($E$1*B1331*86.4/$G$1)</f>
        <v>21.3142404536522</v>
      </c>
      <c r="I1331" s="0" t="n">
        <f aca="false">(($G$1^2*1000)/($E$1*$I$1))*(H1331-1)</f>
        <v>19.6990929386387</v>
      </c>
      <c r="J1331" s="0" t="n">
        <f aca="false">$J$3*EXP(-$E$1*B1331*86.4/$G$1)</f>
        <v>23.471418314281</v>
      </c>
      <c r="K1331" s="0" t="n">
        <f aca="false">J1330-J1331</f>
        <v>0.0664070938791497</v>
      </c>
    </row>
    <row r="1332" customFormat="false" ht="12.8" hidden="false" customHeight="false" outlineLevel="0" collapsed="false">
      <c r="A1332" s="0" t="n">
        <v>1</v>
      </c>
      <c r="B1332" s="0" t="n">
        <f aca="false">B1331+A1332</f>
        <v>1329</v>
      </c>
      <c r="C1332" s="0" t="n">
        <f aca="false">$C$3+($G$1/($E$1*86.4))*SINH($E$1*B1332*86.4/$G$1)</f>
        <v>52161.1528437677</v>
      </c>
      <c r="D1332" s="0" t="n">
        <f aca="false">C1332-$C$3-B1332</f>
        <v>6228.1528437677</v>
      </c>
      <c r="E1332" s="0" t="n">
        <f aca="false">$E$1*B1332*86.4</f>
        <v>1126439.136</v>
      </c>
      <c r="F1332" s="0" t="n">
        <f aca="false">$G$1*G1332</f>
        <v>299671.497962327</v>
      </c>
      <c r="G1332" s="0" t="n">
        <f aca="false">TANH($E$1*B1332*86.4/$G$1)</f>
        <v>0.998904993207757</v>
      </c>
      <c r="H1332" s="0" t="n">
        <f aca="false">COSH($E$1*B1332*86.4/$G$1)</f>
        <v>21.3744779850143</v>
      </c>
      <c r="I1332" s="0" t="n">
        <f aca="false">(($G$1^2*1000)/($E$1*$I$1))*(H1332-1)</f>
        <v>19.7575063817307</v>
      </c>
      <c r="J1332" s="0" t="n">
        <f aca="false">$J$3*EXP(-$E$1*B1332*86.4/$G$1)</f>
        <v>23.4051985742479</v>
      </c>
      <c r="K1332" s="0" t="n">
        <f aca="false">J1331-J1332</f>
        <v>0.0662197400330911</v>
      </c>
    </row>
    <row r="1333" customFormat="false" ht="12.8" hidden="false" customHeight="false" outlineLevel="0" collapsed="false">
      <c r="A1333" s="0" t="n">
        <v>1</v>
      </c>
      <c r="B1333" s="0" t="n">
        <f aca="false">B1332+A1333</f>
        <v>1330</v>
      </c>
      <c r="C1333" s="0" t="n">
        <f aca="false">$C$3+($G$1/($E$1*86.4))*SINH($E$1*B1333*86.4/$G$1)</f>
        <v>52182.5575115882</v>
      </c>
      <c r="D1333" s="0" t="n">
        <f aca="false">C1333-$C$3-B1333</f>
        <v>6248.55751158818</v>
      </c>
      <c r="E1333" s="0" t="n">
        <f aca="false">$E$1*B1333*86.4</f>
        <v>1127286.72</v>
      </c>
      <c r="F1333" s="0" t="n">
        <f aca="false">$G$1*G1333</f>
        <v>299673.347940608</v>
      </c>
      <c r="G1333" s="0" t="n">
        <f aca="false">TANH($E$1*B1333*86.4/$G$1)</f>
        <v>0.998911159802028</v>
      </c>
      <c r="H1333" s="0" t="n">
        <f aca="false">COSH($E$1*B1333*86.4/$G$1)</f>
        <v>21.4348861319993</v>
      </c>
      <c r="I1333" s="0" t="n">
        <f aca="false">(($G$1^2*1000)/($E$1*$I$1))*(H1333-1)</f>
        <v>19.8160852739332</v>
      </c>
      <c r="J1333" s="0" t="n">
        <f aca="false">$J$3*EXP(-$E$1*B1333*86.4/$G$1)</f>
        <v>23.3391656594808</v>
      </c>
      <c r="K1333" s="0" t="n">
        <f aca="false">J1332-J1333</f>
        <v>0.0660329147671313</v>
      </c>
    </row>
    <row r="1334" customFormat="false" ht="12.8" hidden="false" customHeight="false" outlineLevel="0" collapsed="false">
      <c r="A1334" s="0" t="n">
        <v>1</v>
      </c>
      <c r="B1334" s="0" t="n">
        <f aca="false">B1333+A1334</f>
        <v>1331</v>
      </c>
      <c r="C1334" s="0" t="n">
        <f aca="false">$C$3+($G$1/($E$1*86.4))*SINH($E$1*B1334*86.4/$G$1)</f>
        <v>52204.0226730643</v>
      </c>
      <c r="D1334" s="0" t="n">
        <f aca="false">C1334-$C$3-B1334</f>
        <v>6269.0226730643</v>
      </c>
      <c r="E1334" s="0" t="n">
        <f aca="false">$E$1*B1334*86.4</f>
        <v>1128134.304</v>
      </c>
      <c r="F1334" s="0" t="n">
        <f aca="false">$G$1*G1334</f>
        <v>299675.187506273</v>
      </c>
      <c r="G1334" s="0" t="n">
        <f aca="false">TANH($E$1*B1334*86.4/$G$1)</f>
        <v>0.998917291687576</v>
      </c>
      <c r="H1334" s="0" t="n">
        <f aca="false">COSH($E$1*B1334*86.4/$G$1)</f>
        <v>21.495465376798</v>
      </c>
      <c r="I1334" s="0" t="n">
        <f aca="false">(($G$1^2*1000)/($E$1*$I$1))*(H1334-1)</f>
        <v>19.8748300828353</v>
      </c>
      <c r="J1334" s="0" t="n">
        <f aca="false">$J$3*EXP(-$E$1*B1334*86.4/$G$1)</f>
        <v>23.273319042891</v>
      </c>
      <c r="K1334" s="0" t="n">
        <f aca="false">J1333-J1334</f>
        <v>0.0658466165898588</v>
      </c>
    </row>
    <row r="1335" customFormat="false" ht="12.8" hidden="false" customHeight="false" outlineLevel="0" collapsed="false">
      <c r="A1335" s="0" t="n">
        <v>1</v>
      </c>
      <c r="B1335" s="0" t="n">
        <f aca="false">B1334+A1335</f>
        <v>1332</v>
      </c>
      <c r="C1335" s="0" t="n">
        <f aca="false">$C$3+($G$1/($E$1*86.4))*SINH($E$1*B1335*86.4/$G$1)</f>
        <v>52225.5484995355</v>
      </c>
      <c r="D1335" s="0" t="n">
        <f aca="false">C1335-$C$3-B1335</f>
        <v>6289.54849953554</v>
      </c>
      <c r="E1335" s="0" t="n">
        <f aca="false">$E$1*B1335*86.4</f>
        <v>1128981.888</v>
      </c>
      <c r="F1335" s="0" t="n">
        <f aca="false">$G$1*G1335</f>
        <v>299677.016717864</v>
      </c>
      <c r="G1335" s="0" t="n">
        <f aca="false">TANH($E$1*B1335*86.4/$G$1)</f>
        <v>0.998923389059547</v>
      </c>
      <c r="H1335" s="0" t="n">
        <f aca="false">COSH($E$1*B1335*86.4/$G$1)</f>
        <v>21.5562162029667</v>
      </c>
      <c r="I1335" s="0" t="n">
        <f aca="false">(($G$1^2*1000)/($E$1*$I$1))*(H1335-1)</f>
        <v>19.9337412773506</v>
      </c>
      <c r="J1335" s="0" t="n">
        <f aca="false">$J$3*EXP(-$E$1*B1335*86.4/$G$1)</f>
        <v>23.2076581988767</v>
      </c>
      <c r="K1335" s="0" t="n">
        <f aca="false">J1334-J1335</f>
        <v>0.0656608440142605</v>
      </c>
    </row>
    <row r="1336" customFormat="false" ht="12.8" hidden="false" customHeight="false" outlineLevel="0" collapsed="false">
      <c r="A1336" s="0" t="n">
        <v>1</v>
      </c>
      <c r="B1336" s="0" t="n">
        <f aca="false">B1335+A1336</f>
        <v>1333</v>
      </c>
      <c r="C1336" s="0" t="n">
        <f aca="false">$C$3+($G$1/($E$1*86.4))*SINH($E$1*B1336*86.4/$G$1)</f>
        <v>52247.1351628257</v>
      </c>
      <c r="D1336" s="0" t="n">
        <f aca="false">C1336-$C$3-B1336</f>
        <v>6310.13516282565</v>
      </c>
      <c r="E1336" s="0" t="n">
        <f aca="false">$E$1*B1336*86.4</f>
        <v>1129829.472</v>
      </c>
      <c r="F1336" s="0" t="n">
        <f aca="false">$G$1*G1336</f>
        <v>299678.835633599</v>
      </c>
      <c r="G1336" s="0" t="n">
        <f aca="false">TANH($E$1*B1336*86.4/$G$1)</f>
        <v>0.998929452111995</v>
      </c>
      <c r="H1336" s="0" t="n">
        <f aca="false">COSH($E$1*B1336*86.4/$G$1)</f>
        <v>21.6171390954314</v>
      </c>
      <c r="I1336" s="0" t="n">
        <f aca="false">(($G$1^2*1000)/($E$1*$I$1))*(H1336-1)</f>
        <v>19.9928193277208</v>
      </c>
      <c r="J1336" s="0" t="n">
        <f aca="false">$J$3*EXP(-$E$1*B1336*86.4/$G$1)</f>
        <v>23.1421826033192</v>
      </c>
      <c r="K1336" s="0" t="n">
        <f aca="false">J1335-J1336</f>
        <v>0.0654755955575297</v>
      </c>
    </row>
    <row r="1337" customFormat="false" ht="12.8" hidden="false" customHeight="false" outlineLevel="0" collapsed="false">
      <c r="A1337" s="0" t="n">
        <v>1</v>
      </c>
      <c r="B1337" s="0" t="n">
        <f aca="false">B1336+A1337</f>
        <v>1334</v>
      </c>
      <c r="C1337" s="0" t="n">
        <f aca="false">$C$3+($G$1/($E$1*86.4))*SINH($E$1*B1337*86.4/$G$1)</f>
        <v>52268.7828352439</v>
      </c>
      <c r="D1337" s="0" t="n">
        <f aca="false">C1337-$C$3-B1337</f>
        <v>6330.78283524393</v>
      </c>
      <c r="E1337" s="0" t="n">
        <f aca="false">$E$1*B1337*86.4</f>
        <v>1130677.056</v>
      </c>
      <c r="F1337" s="0" t="n">
        <f aca="false">$G$1*G1337</f>
        <v>299680.644311365</v>
      </c>
      <c r="G1337" s="0" t="n">
        <f aca="false">TANH($E$1*B1337*86.4/$G$1)</f>
        <v>0.998935481037883</v>
      </c>
      <c r="H1337" s="0" t="n">
        <f aca="false">COSH($E$1*B1337*86.4/$G$1)</f>
        <v>21.6782345404915</v>
      </c>
      <c r="I1337" s="0" t="n">
        <f aca="false">(($G$1^2*1000)/($E$1*$I$1))*(H1337-1)</f>
        <v>20.0520647055193</v>
      </c>
      <c r="J1337" s="0" t="n">
        <f aca="false">$J$3*EXP(-$E$1*B1337*86.4/$G$1)</f>
        <v>23.0768917335783</v>
      </c>
      <c r="K1337" s="0" t="n">
        <f aca="false">J1336-J1337</f>
        <v>0.0652908697408279</v>
      </c>
    </row>
    <row r="1338" customFormat="false" ht="12.8" hidden="false" customHeight="false" outlineLevel="0" collapsed="false">
      <c r="A1338" s="0" t="n">
        <v>1</v>
      </c>
      <c r="B1338" s="0" t="n">
        <f aca="false">B1337+A1338</f>
        <v>1335</v>
      </c>
      <c r="C1338" s="0" t="n">
        <f aca="false">$C$3+($G$1/($E$1*86.4))*SINH($E$1*B1338*86.4/$G$1)</f>
        <v>52290.4916895867</v>
      </c>
      <c r="D1338" s="0" t="n">
        <f aca="false">C1338-$C$3-B1338</f>
        <v>6351.49168958671</v>
      </c>
      <c r="E1338" s="0" t="n">
        <f aca="false">$E$1*B1338*86.4</f>
        <v>1131524.64</v>
      </c>
      <c r="F1338" s="0" t="n">
        <f aca="false">$G$1*G1338</f>
        <v>299682.442808727</v>
      </c>
      <c r="G1338" s="0" t="n">
        <f aca="false">TANH($E$1*B1338*86.4/$G$1)</f>
        <v>0.998941476029091</v>
      </c>
      <c r="H1338" s="0" t="n">
        <f aca="false">COSH($E$1*B1338*86.4/$G$1)</f>
        <v>21.739503025824</v>
      </c>
      <c r="I1338" s="0" t="n">
        <f aca="false">(($G$1^2*1000)/($E$1*$I$1))*(H1338-1)</f>
        <v>20.1114778836555</v>
      </c>
      <c r="J1338" s="0" t="n">
        <f aca="false">$J$3*EXP(-$E$1*B1338*86.4/$G$1)</f>
        <v>23.0117850684886</v>
      </c>
      <c r="K1338" s="0" t="n">
        <f aca="false">J1337-J1338</f>
        <v>0.0651066650897754</v>
      </c>
    </row>
    <row r="1339" customFormat="false" ht="12.8" hidden="false" customHeight="false" outlineLevel="0" collapsed="false">
      <c r="A1339" s="0" t="n">
        <v>1</v>
      </c>
      <c r="B1339" s="0" t="n">
        <f aca="false">B1338+A1339</f>
        <v>1336</v>
      </c>
      <c r="C1339" s="0" t="n">
        <f aca="false">$C$3+($G$1/($E$1*86.4))*SINH($E$1*B1339*86.4/$G$1)</f>
        <v>52312.2618991387</v>
      </c>
      <c r="D1339" s="0" t="n">
        <f aca="false">C1339-$C$3-B1339</f>
        <v>6372.26189913867</v>
      </c>
      <c r="E1339" s="0" t="n">
        <f aca="false">$E$1*B1339*86.4</f>
        <v>1132372.224</v>
      </c>
      <c r="F1339" s="0" t="n">
        <f aca="false">$G$1*G1339</f>
        <v>299684.231182927</v>
      </c>
      <c r="G1339" s="0" t="n">
        <f aca="false">TANH($E$1*B1339*86.4/$G$1)</f>
        <v>0.998947437276424</v>
      </c>
      <c r="H1339" s="0" t="n">
        <f aca="false">COSH($E$1*B1339*86.4/$G$1)</f>
        <v>21.8009450404869</v>
      </c>
      <c r="I1339" s="0" t="n">
        <f aca="false">(($G$1^2*1000)/($E$1*$I$1))*(H1339-1)</f>
        <v>20.1710593363779</v>
      </c>
      <c r="J1339" s="0" t="n">
        <f aca="false">$J$3*EXP(-$E$1*B1339*86.4/$G$1)</f>
        <v>22.9468620883546</v>
      </c>
      <c r="K1339" s="0" t="n">
        <f aca="false">J1338-J1339</f>
        <v>0.0649229801339288</v>
      </c>
    </row>
    <row r="1340" customFormat="false" ht="12.8" hidden="false" customHeight="false" outlineLevel="0" collapsed="false">
      <c r="A1340" s="0" t="n">
        <v>1</v>
      </c>
      <c r="B1340" s="0" t="n">
        <f aca="false">B1339+A1340</f>
        <v>1337</v>
      </c>
      <c r="C1340" s="0" t="n">
        <f aca="false">$C$3+($G$1/($E$1*86.4))*SINH($E$1*B1340*86.4/$G$1)</f>
        <v>52334.0936376743</v>
      </c>
      <c r="D1340" s="0" t="n">
        <f aca="false">C1340-$C$3-B1340</f>
        <v>6393.09363767425</v>
      </c>
      <c r="E1340" s="0" t="n">
        <f aca="false">$E$1*B1340*86.4</f>
        <v>1133219.808</v>
      </c>
      <c r="F1340" s="0" t="n">
        <f aca="false">$G$1*G1340</f>
        <v>299686.009490885</v>
      </c>
      <c r="G1340" s="0" t="n">
        <f aca="false">TANH($E$1*B1340*86.4/$G$1)</f>
        <v>0.998953364969615</v>
      </c>
      <c r="H1340" s="0" t="n">
        <f aca="false">COSH($E$1*B1340*86.4/$G$1)</f>
        <v>21.8625610749233</v>
      </c>
      <c r="I1340" s="0" t="n">
        <f aca="false">(($G$1^2*1000)/($E$1*$I$1))*(H1340-1)</f>
        <v>20.2308095392783</v>
      </c>
      <c r="J1340" s="0" t="n">
        <f aca="false">$J$3*EXP(-$E$1*B1340*86.4/$G$1)</f>
        <v>22.8821222749475</v>
      </c>
      <c r="K1340" s="0" t="n">
        <f aca="false">J1339-J1340</f>
        <v>0.0647398134070905</v>
      </c>
    </row>
    <row r="1341" customFormat="false" ht="12.8" hidden="false" customHeight="false" outlineLevel="0" collapsed="false">
      <c r="A1341" s="0" t="n">
        <v>1</v>
      </c>
      <c r="B1341" s="0" t="n">
        <f aca="false">B1340+A1341</f>
        <v>1338</v>
      </c>
      <c r="C1341" s="0" t="n">
        <f aca="false">$C$3+($G$1/($E$1*86.4))*SINH($E$1*B1341*86.4/$G$1)</f>
        <v>52355.987079459</v>
      </c>
      <c r="D1341" s="0" t="n">
        <f aca="false">C1341-$C$3-B1341</f>
        <v>6413.98707945904</v>
      </c>
      <c r="E1341" s="0" t="n">
        <f aca="false">$E$1*B1341*86.4</f>
        <v>1134067.392</v>
      </c>
      <c r="F1341" s="0" t="n">
        <f aca="false">$G$1*G1341</f>
        <v>299687.7777892</v>
      </c>
      <c r="G1341" s="0" t="n">
        <f aca="false">TANH($E$1*B1341*86.4/$G$1)</f>
        <v>0.998959259297334</v>
      </c>
      <c r="H1341" s="0" t="n">
        <f aca="false">COSH($E$1*B1341*86.4/$G$1)</f>
        <v>21.9243516209655</v>
      </c>
      <c r="I1341" s="0" t="n">
        <f aca="false">(($G$1^2*1000)/($E$1*$I$1))*(H1341-1)</f>
        <v>20.2907289692955</v>
      </c>
      <c r="J1341" s="0" t="n">
        <f aca="false">$J$3*EXP(-$E$1*B1341*86.4/$G$1)</f>
        <v>22.8175651115003</v>
      </c>
      <c r="K1341" s="0" t="n">
        <f aca="false">J1340-J1341</f>
        <v>0.064557163447212</v>
      </c>
    </row>
    <row r="1342" customFormat="false" ht="12.8" hidden="false" customHeight="false" outlineLevel="0" collapsed="false">
      <c r="A1342" s="0" t="n">
        <v>1</v>
      </c>
      <c r="B1342" s="0" t="n">
        <f aca="false">B1341+A1342</f>
        <v>1339</v>
      </c>
      <c r="C1342" s="0" t="n">
        <f aca="false">$C$3+($G$1/($E$1*86.4))*SINH($E$1*B1342*86.4/$G$1)</f>
        <v>52377.9423992511</v>
      </c>
      <c r="D1342" s="0" t="n">
        <f aca="false">C1342-$C$3-B1342</f>
        <v>6434.94239925112</v>
      </c>
      <c r="E1342" s="0" t="n">
        <f aca="false">$E$1*B1342*86.4</f>
        <v>1134914.976</v>
      </c>
      <c r="F1342" s="0" t="n">
        <f aca="false">$G$1*G1342</f>
        <v>299689.536134157</v>
      </c>
      <c r="G1342" s="0" t="n">
        <f aca="false">TANH($E$1*B1342*86.4/$G$1)</f>
        <v>0.998965120447191</v>
      </c>
      <c r="H1342" s="0" t="n">
        <f aca="false">COSH($E$1*B1342*86.4/$G$1)</f>
        <v>21.9863171718389</v>
      </c>
      <c r="I1342" s="0" t="n">
        <f aca="false">(($G$1^2*1000)/($E$1*$I$1))*(H1342-1)</f>
        <v>20.3508181047192</v>
      </c>
      <c r="J1342" s="0" t="n">
        <f aca="false">$J$3*EXP(-$E$1*B1342*86.4/$G$1)</f>
        <v>22.753190082704</v>
      </c>
      <c r="K1342" s="0" t="n">
        <f aca="false">J1341-J1342</f>
        <v>0.0643750287963094</v>
      </c>
    </row>
    <row r="1343" customFormat="false" ht="12.8" hidden="false" customHeight="false" outlineLevel="0" collapsed="false">
      <c r="A1343" s="0" t="n">
        <v>1</v>
      </c>
      <c r="B1343" s="0" t="n">
        <f aca="false">B1342+A1343</f>
        <v>1340</v>
      </c>
      <c r="C1343" s="0" t="n">
        <f aca="false">$C$3+($G$1/($E$1*86.4))*SINH($E$1*B1343*86.4/$G$1)</f>
        <v>52399.9597723025</v>
      </c>
      <c r="D1343" s="0" t="n">
        <f aca="false">C1343-$C$3-B1343</f>
        <v>6455.95977230252</v>
      </c>
      <c r="E1343" s="0" t="n">
        <f aca="false">$E$1*B1343*86.4</f>
        <v>1135762.56</v>
      </c>
      <c r="F1343" s="0" t="n">
        <f aca="false">$G$1*G1343</f>
        <v>299691.284581723</v>
      </c>
      <c r="G1343" s="0" t="n">
        <f aca="false">TANH($E$1*B1343*86.4/$G$1)</f>
        <v>0.998970948605745</v>
      </c>
      <c r="H1343" s="0" t="n">
        <f aca="false">COSH($E$1*B1343*86.4/$G$1)</f>
        <v>22.0484582221656</v>
      </c>
      <c r="I1343" s="0" t="n">
        <f aca="false">(($G$1^2*1000)/($E$1*$I$1))*(H1343-1)</f>
        <v>20.4110774251936</v>
      </c>
      <c r="J1343" s="0" t="n">
        <f aca="false">$J$3*EXP(-$E$1*B1343*86.4/$G$1)</f>
        <v>22.6889966747034</v>
      </c>
      <c r="K1343" s="0" t="n">
        <f aca="false">J1342-J1343</f>
        <v>0.0641934080005768</v>
      </c>
    </row>
    <row r="1344" customFormat="false" ht="12.8" hidden="false" customHeight="false" outlineLevel="0" collapsed="false">
      <c r="A1344" s="0" t="n">
        <v>1</v>
      </c>
      <c r="B1344" s="0" t="n">
        <f aca="false">B1343+A1344</f>
        <v>1341</v>
      </c>
      <c r="C1344" s="0" t="n">
        <f aca="false">$C$3+($G$1/($E$1*86.4))*SINH($E$1*B1344*86.4/$G$1)</f>
        <v>52422.0393743606</v>
      </c>
      <c r="D1344" s="0" t="n">
        <f aca="false">C1344-$C$3-B1344</f>
        <v>6477.03937436058</v>
      </c>
      <c r="E1344" s="0" t="n">
        <f aca="false">$E$1*B1344*86.4</f>
        <v>1136610.144</v>
      </c>
      <c r="F1344" s="0" t="n">
        <f aca="false">$G$1*G1344</f>
        <v>299693.023187551</v>
      </c>
      <c r="G1344" s="0" t="n">
        <f aca="false">TANH($E$1*B1344*86.4/$G$1)</f>
        <v>0.998976743958505</v>
      </c>
      <c r="H1344" s="0" t="n">
        <f aca="false">COSH($E$1*B1344*86.4/$G$1)</f>
        <v>22.1107752679686</v>
      </c>
      <c r="I1344" s="0" t="n">
        <f aca="false">(($G$1^2*1000)/($E$1*$I$1))*(H1344-1)</f>
        <v>20.4715074117213</v>
      </c>
      <c r="J1344" s="0" t="n">
        <f aca="false">$J$3*EXP(-$E$1*B1344*86.4/$G$1)</f>
        <v>22.6249843750932</v>
      </c>
      <c r="K1344" s="0" t="n">
        <f aca="false">J1343-J1344</f>
        <v>0.0640122996102228</v>
      </c>
    </row>
    <row r="1345" customFormat="false" ht="12.8" hidden="false" customHeight="false" outlineLevel="0" collapsed="false">
      <c r="A1345" s="0" t="n">
        <v>1</v>
      </c>
      <c r="B1345" s="0" t="n">
        <f aca="false">B1344+A1345</f>
        <v>1342</v>
      </c>
      <c r="C1345" s="0" t="n">
        <f aca="false">$C$3+($G$1/($E$1*86.4))*SINH($E$1*B1345*86.4/$G$1)</f>
        <v>52444.1813816694</v>
      </c>
      <c r="D1345" s="0" t="n">
        <f aca="false">C1345-$C$3-B1345</f>
        <v>6498.18138166941</v>
      </c>
      <c r="E1345" s="0" t="n">
        <f aca="false">$E$1*B1345*86.4</f>
        <v>1137457.728</v>
      </c>
      <c r="F1345" s="0" t="n">
        <f aca="false">$G$1*G1345</f>
        <v>299694.752006983</v>
      </c>
      <c r="G1345" s="0" t="n">
        <f aca="false">TANH($E$1*B1345*86.4/$G$1)</f>
        <v>0.998982506689942</v>
      </c>
      <c r="H1345" s="0" t="n">
        <f aca="false">COSH($E$1*B1345*86.4/$G$1)</f>
        <v>22.1732688066759</v>
      </c>
      <c r="I1345" s="0" t="n">
        <f aca="false">(($G$1^2*1000)/($E$1*$I$1))*(H1345-1)</f>
        <v>20.5321085466674</v>
      </c>
      <c r="J1345" s="0" t="n">
        <f aca="false">$J$3*EXP(-$E$1*B1345*86.4/$G$1)</f>
        <v>22.5611526729135</v>
      </c>
      <c r="K1345" s="0" t="n">
        <f aca="false">J1344-J1345</f>
        <v>0.0638317021796837</v>
      </c>
    </row>
    <row r="1346" customFormat="false" ht="12.8" hidden="false" customHeight="false" outlineLevel="0" collapsed="false">
      <c r="A1346" s="0" t="n">
        <v>1</v>
      </c>
      <c r="B1346" s="0" t="n">
        <f aca="false">B1345+A1346</f>
        <v>1343</v>
      </c>
      <c r="C1346" s="0" t="n">
        <f aca="false">$C$3+($G$1/($E$1*86.4))*SINH($E$1*B1346*86.4/$G$1)</f>
        <v>52466.3859709712</v>
      </c>
      <c r="D1346" s="0" t="n">
        <f aca="false">C1346-$C$3-B1346</f>
        <v>6519.38597097117</v>
      </c>
      <c r="E1346" s="0" t="n">
        <f aca="false">$E$1*B1346*86.4</f>
        <v>1138305.312</v>
      </c>
      <c r="F1346" s="0" t="n">
        <f aca="false">$G$1*G1346</f>
        <v>299696.471095047</v>
      </c>
      <c r="G1346" s="0" t="n">
        <f aca="false">TANH($E$1*B1346*86.4/$G$1)</f>
        <v>0.998988236983491</v>
      </c>
      <c r="H1346" s="0" t="n">
        <f aca="false">COSH($E$1*B1346*86.4/$G$1)</f>
        <v>22.2359393371241</v>
      </c>
      <c r="I1346" s="0" t="n">
        <f aca="false">(($G$1^2*1000)/($E$1*$I$1))*(H1346-1)</f>
        <v>20.5928813137629</v>
      </c>
      <c r="J1346" s="0" t="n">
        <f aca="false">$J$3*EXP(-$E$1*B1346*86.4/$G$1)</f>
        <v>22.4975010586462</v>
      </c>
      <c r="K1346" s="0" t="n">
        <f aca="false">J1345-J1346</f>
        <v>0.0636516142673322</v>
      </c>
    </row>
    <row r="1347" customFormat="false" ht="12.8" hidden="false" customHeight="false" outlineLevel="0" collapsed="false">
      <c r="A1347" s="0" t="n">
        <v>1</v>
      </c>
      <c r="B1347" s="0" t="n">
        <f aca="false">B1346+A1347</f>
        <v>1344</v>
      </c>
      <c r="C1347" s="0" t="n">
        <f aca="false">$C$3+($G$1/($E$1*86.4))*SINH($E$1*B1347*86.4/$G$1)</f>
        <v>52488.6533195076</v>
      </c>
      <c r="D1347" s="0" t="n">
        <f aca="false">C1347-$C$3-B1347</f>
        <v>6540.65331950763</v>
      </c>
      <c r="E1347" s="0" t="n">
        <f aca="false">$E$1*B1347*86.4</f>
        <v>1139152.896</v>
      </c>
      <c r="F1347" s="0" t="n">
        <f aca="false">$G$1*G1347</f>
        <v>299698.180506467</v>
      </c>
      <c r="G1347" s="0" t="n">
        <f aca="false">TANH($E$1*B1347*86.4/$G$1)</f>
        <v>0.998993935021557</v>
      </c>
      <c r="H1347" s="0" t="n">
        <f aca="false">COSH($E$1*B1347*86.4/$G$1)</f>
        <v>22.2987873595627</v>
      </c>
      <c r="I1347" s="0" t="n">
        <f aca="false">(($G$1^2*1000)/($E$1*$I$1))*(H1347-1)</f>
        <v>20.6538261981092</v>
      </c>
      <c r="J1347" s="0" t="n">
        <f aca="false">$J$3*EXP(-$E$1*B1347*86.4/$G$1)</f>
        <v>22.4340290242105</v>
      </c>
      <c r="K1347" s="0" t="n">
        <f aca="false">J1346-J1347</f>
        <v>0.0634720344356765</v>
      </c>
    </row>
    <row r="1348" customFormat="false" ht="12.8" hidden="false" customHeight="false" outlineLevel="0" collapsed="false">
      <c r="A1348" s="0" t="n">
        <v>1</v>
      </c>
      <c r="B1348" s="0" t="n">
        <f aca="false">B1347+A1348</f>
        <v>1345</v>
      </c>
      <c r="C1348" s="0" t="n">
        <f aca="false">$C$3+($G$1/($E$1*86.4))*SINH($E$1*B1348*86.4/$G$1)</f>
        <v>52510.9836050215</v>
      </c>
      <c r="D1348" s="0" t="n">
        <f aca="false">C1348-$C$3-B1348</f>
        <v>6561.9836050215</v>
      </c>
      <c r="E1348" s="0" t="n">
        <f aca="false">$E$1*B1348*86.4</f>
        <v>1140000.48</v>
      </c>
      <c r="F1348" s="0" t="n">
        <f aca="false">$G$1*G1348</f>
        <v>299699.880295656</v>
      </c>
      <c r="G1348" s="0" t="n">
        <f aca="false">TANH($E$1*B1348*86.4/$G$1)</f>
        <v>0.998999600985522</v>
      </c>
      <c r="H1348" s="0" t="n">
        <f aca="false">COSH($E$1*B1348*86.4/$G$1)</f>
        <v>22.3618133756581</v>
      </c>
      <c r="I1348" s="0" t="n">
        <f aca="false">(($G$1^2*1000)/($E$1*$I$1))*(H1348-1)</f>
        <v>20.714943686181</v>
      </c>
      <c r="J1348" s="0" t="n">
        <f aca="false">$J$3*EXP(-$E$1*B1348*86.4/$G$1)</f>
        <v>22.3707360629592</v>
      </c>
      <c r="K1348" s="0" t="n">
        <f aca="false">J1347-J1348</f>
        <v>0.0632929612512854</v>
      </c>
    </row>
    <row r="1349" customFormat="false" ht="12.8" hidden="false" customHeight="false" outlineLevel="0" collapsed="false">
      <c r="A1349" s="0" t="n">
        <v>1</v>
      </c>
      <c r="B1349" s="0" t="n">
        <f aca="false">B1348+A1349</f>
        <v>1346</v>
      </c>
      <c r="C1349" s="0" t="n">
        <f aca="false">$C$3+($G$1/($E$1*86.4))*SINH($E$1*B1349*86.4/$G$1)</f>
        <v>52533.3770057578</v>
      </c>
      <c r="D1349" s="0" t="n">
        <f aca="false">C1349-$C$3-B1349</f>
        <v>6583.37700575784</v>
      </c>
      <c r="E1349" s="0" t="n">
        <f aca="false">$E$1*B1349*86.4</f>
        <v>1140848.064</v>
      </c>
      <c r="F1349" s="0" t="n">
        <f aca="false">$G$1*G1349</f>
        <v>299701.570516725</v>
      </c>
      <c r="G1349" s="0" t="n">
        <f aca="false">TANH($E$1*B1349*86.4/$G$1)</f>
        <v>0.999005235055749</v>
      </c>
      <c r="H1349" s="0" t="n">
        <f aca="false">COSH($E$1*B1349*86.4/$G$1)</f>
        <v>22.4250178884972</v>
      </c>
      <c r="I1349" s="0" t="n">
        <f aca="false">(($G$1^2*1000)/($E$1*$I$1))*(H1349-1)</f>
        <v>20.7762342658312</v>
      </c>
      <c r="J1349" s="0" t="n">
        <f aca="false">$J$3*EXP(-$E$1*B1349*86.4/$G$1)</f>
        <v>22.3076216696745</v>
      </c>
      <c r="K1349" s="0" t="n">
        <f aca="false">J1348-J1349</f>
        <v>0.0631143932847387</v>
      </c>
    </row>
    <row r="1350" customFormat="false" ht="12.8" hidden="false" customHeight="false" outlineLevel="0" collapsed="false">
      <c r="A1350" s="0" t="n">
        <v>1</v>
      </c>
      <c r="B1350" s="0" t="n">
        <f aca="false">B1349+A1350</f>
        <v>1347</v>
      </c>
      <c r="C1350" s="0" t="n">
        <f aca="false">$C$3+($G$1/($E$1*86.4))*SINH($E$1*B1350*86.4/$G$1)</f>
        <v>52555.8337004656</v>
      </c>
      <c r="D1350" s="0" t="n">
        <f aca="false">C1350-$C$3-B1350</f>
        <v>6604.83370046557</v>
      </c>
      <c r="E1350" s="0" t="n">
        <f aca="false">$E$1*B1350*86.4</f>
        <v>1141695.648</v>
      </c>
      <c r="F1350" s="0" t="n">
        <f aca="false">$G$1*G1350</f>
        <v>299703.251223477</v>
      </c>
      <c r="G1350" s="0" t="n">
        <f aca="false">TANH($E$1*B1350*86.4/$G$1)</f>
        <v>0.999010837411591</v>
      </c>
      <c r="H1350" s="0" t="n">
        <f aca="false">COSH($E$1*B1350*86.4/$G$1)</f>
        <v>22.4884014025919</v>
      </c>
      <c r="I1350" s="0" t="n">
        <f aca="false">(($G$1^2*1000)/($E$1*$I$1))*(H1350-1)</f>
        <v>20.8376984262944</v>
      </c>
      <c r="J1350" s="0" t="n">
        <f aca="false">$J$3*EXP(-$E$1*B1350*86.4/$G$1)</f>
        <v>22.2446853405638</v>
      </c>
      <c r="K1350" s="0" t="n">
        <f aca="false">J1349-J1350</f>
        <v>0.0629363291107374</v>
      </c>
    </row>
    <row r="1351" customFormat="false" ht="12.8" hidden="false" customHeight="false" outlineLevel="0" collapsed="false">
      <c r="A1351" s="0" t="n">
        <v>1</v>
      </c>
      <c r="B1351" s="0" t="n">
        <f aca="false">B1350+A1351</f>
        <v>1348</v>
      </c>
      <c r="C1351" s="0" t="n">
        <f aca="false">$C$3+($G$1/($E$1*86.4))*SINH($E$1*B1351*86.4/$G$1)</f>
        <v>52578.3538683988</v>
      </c>
      <c r="D1351" s="0" t="n">
        <f aca="false">C1351-$C$3-B1351</f>
        <v>6626.35386839875</v>
      </c>
      <c r="E1351" s="0" t="n">
        <f aca="false">$E$1*B1351*86.4</f>
        <v>1142543.232</v>
      </c>
      <c r="F1351" s="0" t="n">
        <f aca="false">$G$1*G1351</f>
        <v>299704.922469418</v>
      </c>
      <c r="G1351" s="0" t="n">
        <f aca="false">TANH($E$1*B1351*86.4/$G$1)</f>
        <v>0.999016408231393</v>
      </c>
      <c r="H1351" s="0" t="n">
        <f aca="false">COSH($E$1*B1351*86.4/$G$1)</f>
        <v>22.5519644238829</v>
      </c>
      <c r="I1351" s="0" t="n">
        <f aca="false">(($G$1^2*1000)/($E$1*$I$1))*(H1351-1)</f>
        <v>20.8993366581902</v>
      </c>
      <c r="J1351" s="0" t="n">
        <f aca="false">$J$3*EXP(-$E$1*B1351*86.4/$G$1)</f>
        <v>22.181926573256</v>
      </c>
      <c r="K1351" s="0" t="n">
        <f aca="false">J1350-J1351</f>
        <v>0.0627587673078054</v>
      </c>
    </row>
    <row r="1352" customFormat="false" ht="12.8" hidden="false" customHeight="false" outlineLevel="0" collapsed="false">
      <c r="A1352" s="0" t="n">
        <v>1</v>
      </c>
      <c r="B1352" s="0" t="n">
        <f aca="false">B1351+A1352</f>
        <v>1349</v>
      </c>
      <c r="C1352" s="0" t="n">
        <f aca="false">$C$3+($G$1/($E$1*86.4))*SINH($E$1*B1352*86.4/$G$1)</f>
        <v>52600.9376893182</v>
      </c>
      <c r="D1352" s="0" t="n">
        <f aca="false">C1352-$C$3-B1352</f>
        <v>6647.93768931817</v>
      </c>
      <c r="E1352" s="0" t="n">
        <f aca="false">$E$1*B1352*86.4</f>
        <v>1143390.816</v>
      </c>
      <c r="F1352" s="0" t="n">
        <f aca="false">$G$1*G1352</f>
        <v>299706.584307749</v>
      </c>
      <c r="G1352" s="0" t="n">
        <f aca="false">TANH($E$1*B1352*86.4/$G$1)</f>
        <v>0.999021947692498</v>
      </c>
      <c r="H1352" s="0" t="n">
        <f aca="false">COSH($E$1*B1352*86.4/$G$1)</f>
        <v>22.6157074597436</v>
      </c>
      <c r="I1352" s="0" t="n">
        <f aca="false">(($G$1^2*1000)/($E$1*$I$1))*(H1352-1)</f>
        <v>20.9611494535284</v>
      </c>
      <c r="J1352" s="0" t="n">
        <f aca="false">$J$3*EXP(-$E$1*B1352*86.4/$G$1)</f>
        <v>22.1193448667972</v>
      </c>
      <c r="K1352" s="0" t="n">
        <f aca="false">J1351-J1352</f>
        <v>0.0625817064587402</v>
      </c>
    </row>
    <row r="1353" customFormat="false" ht="12.8" hidden="false" customHeight="false" outlineLevel="0" collapsed="false">
      <c r="A1353" s="0" t="n">
        <v>1</v>
      </c>
      <c r="B1353" s="0" t="n">
        <f aca="false">B1352+A1353</f>
        <v>1350</v>
      </c>
      <c r="C1353" s="0" t="n">
        <f aca="false">$C$3+($G$1/($E$1*86.4))*SINH($E$1*B1353*86.4/$G$1)</f>
        <v>52623.5853434927</v>
      </c>
      <c r="D1353" s="0" t="n">
        <f aca="false">C1353-$C$3-B1353</f>
        <v>6669.58534349268</v>
      </c>
      <c r="E1353" s="0" t="n">
        <f aca="false">$E$1*B1353*86.4</f>
        <v>1144238.4</v>
      </c>
      <c r="F1353" s="0" t="n">
        <f aca="false">$G$1*G1353</f>
        <v>299708.236791377</v>
      </c>
      <c r="G1353" s="0" t="n">
        <f aca="false">TANH($E$1*B1353*86.4/$G$1)</f>
        <v>0.999027455971255</v>
      </c>
      <c r="H1353" s="0" t="n">
        <f aca="false">COSH($E$1*B1353*86.4/$G$1)</f>
        <v>22.6796310189847</v>
      </c>
      <c r="I1353" s="0" t="n">
        <f aca="false">(($G$1^2*1000)/($E$1*$I$1))*(H1353-1)</f>
        <v>21.0231373057117</v>
      </c>
      <c r="J1353" s="0" t="n">
        <f aca="false">$J$3*EXP(-$E$1*B1353*86.4/$G$1)</f>
        <v>22.0569397216471</v>
      </c>
      <c r="K1353" s="0" t="n">
        <f aca="false">J1352-J1353</f>
        <v>0.0624051451501302</v>
      </c>
    </row>
    <row r="1354" customFormat="false" ht="12.8" hidden="false" customHeight="false" outlineLevel="0" collapsed="false">
      <c r="A1354" s="0" t="n">
        <v>1</v>
      </c>
      <c r="B1354" s="0" t="n">
        <f aca="false">B1353+A1354</f>
        <v>1351</v>
      </c>
      <c r="C1354" s="0" t="n">
        <f aca="false">$C$3+($G$1/($E$1*86.4))*SINH($E$1*B1354*86.4/$G$1)</f>
        <v>52646.2970117007</v>
      </c>
      <c r="D1354" s="0" t="n">
        <f aca="false">C1354-$C$3-B1354</f>
        <v>6691.29701170067</v>
      </c>
      <c r="E1354" s="0" t="n">
        <f aca="false">$E$1*B1354*86.4</f>
        <v>1145085.984</v>
      </c>
      <c r="F1354" s="0" t="n">
        <f aca="false">$G$1*G1354</f>
        <v>299709.879972907</v>
      </c>
      <c r="G1354" s="0" t="n">
        <f aca="false">TANH($E$1*B1354*86.4/$G$1)</f>
        <v>0.999032933243024</v>
      </c>
      <c r="H1354" s="0" t="n">
        <f aca="false">COSH($E$1*B1354*86.4/$G$1)</f>
        <v>22.7437356118573</v>
      </c>
      <c r="I1354" s="0" t="n">
        <f aca="false">(($G$1^2*1000)/($E$1*$I$1))*(H1354-1)</f>
        <v>21.0853007095404</v>
      </c>
      <c r="J1354" s="0" t="n">
        <f aca="false">$J$3*EXP(-$E$1*B1354*86.4/$G$1)</f>
        <v>21.9947106396745</v>
      </c>
      <c r="K1354" s="0" t="n">
        <f aca="false">J1353-J1354</f>
        <v>0.0622290819726423</v>
      </c>
    </row>
    <row r="1355" customFormat="false" ht="12.8" hidden="false" customHeight="false" outlineLevel="0" collapsed="false">
      <c r="A1355" s="0" t="n">
        <v>1</v>
      </c>
      <c r="B1355" s="0" t="n">
        <f aca="false">B1354+A1355</f>
        <v>1352</v>
      </c>
      <c r="C1355" s="0" t="n">
        <f aca="false">$C$3+($G$1/($E$1*86.4))*SINH($E$1*B1355*86.4/$G$1)</f>
        <v>52669.0728752315</v>
      </c>
      <c r="D1355" s="0" t="n">
        <f aca="false">C1355-$C$3-B1355</f>
        <v>6713.07287523149</v>
      </c>
      <c r="E1355" s="0" t="n">
        <f aca="false">$E$1*B1355*86.4</f>
        <v>1145933.568</v>
      </c>
      <c r="F1355" s="0" t="n">
        <f aca="false">$G$1*G1355</f>
        <v>299711.513904654</v>
      </c>
      <c r="G1355" s="0" t="n">
        <f aca="false">TANH($E$1*B1355*86.4/$G$1)</f>
        <v>0.999038379682179</v>
      </c>
      <c r="H1355" s="0" t="n">
        <f aca="false">COSH($E$1*B1355*86.4/$G$1)</f>
        <v>22.8080217500582</v>
      </c>
      <c r="I1355" s="0" t="n">
        <f aca="false">(($G$1^2*1000)/($E$1*$I$1))*(H1355-1)</f>
        <v>21.1476401612159</v>
      </c>
      <c r="J1355" s="0" t="n">
        <f aca="false">$J$3*EXP(-$E$1*B1355*86.4/$G$1)</f>
        <v>21.9326571241536</v>
      </c>
      <c r="K1355" s="0" t="n">
        <f aca="false">J1354-J1355</f>
        <v>0.0620535155208906</v>
      </c>
    </row>
    <row r="1356" customFormat="false" ht="12.8" hidden="false" customHeight="false" outlineLevel="0" collapsed="false">
      <c r="A1356" s="0" t="n">
        <v>1</v>
      </c>
      <c r="B1356" s="0" t="n">
        <f aca="false">B1355+A1356</f>
        <v>1353</v>
      </c>
      <c r="C1356" s="0" t="n">
        <f aca="false">$C$3+($G$1/($E$1*86.4))*SINH($E$1*B1356*86.4/$G$1)</f>
        <v>52691.9131158869</v>
      </c>
      <c r="D1356" s="0" t="n">
        <f aca="false">C1356-$C$3-B1356</f>
        <v>6734.91311588692</v>
      </c>
      <c r="E1356" s="0" t="n">
        <f aca="false">$E$1*B1356*86.4</f>
        <v>1146781.152</v>
      </c>
      <c r="F1356" s="0" t="n">
        <f aca="false">$G$1*G1356</f>
        <v>299713.138638635</v>
      </c>
      <c r="G1356" s="0" t="n">
        <f aca="false">TANH($E$1*B1356*86.4/$G$1)</f>
        <v>0.999043795462117</v>
      </c>
      <c r="H1356" s="0" t="n">
        <f aca="false">COSH($E$1*B1356*86.4/$G$1)</f>
        <v>22.8724899467328</v>
      </c>
      <c r="I1356" s="0" t="n">
        <f aca="false">(($G$1^2*1000)/($E$1*$I$1))*(H1356-1)</f>
        <v>21.2101561583449</v>
      </c>
      <c r="J1356" s="0" t="n">
        <f aca="false">$J$3*EXP(-$E$1*B1356*86.4/$G$1)</f>
        <v>21.8707786797601</v>
      </c>
      <c r="K1356" s="0" t="n">
        <f aca="false">J1355-J1356</f>
        <v>0.0618784443934928</v>
      </c>
    </row>
    <row r="1357" customFormat="false" ht="12.8" hidden="false" customHeight="false" outlineLevel="0" collapsed="false">
      <c r="A1357" s="0" t="n">
        <v>1</v>
      </c>
      <c r="B1357" s="0" t="n">
        <f aca="false">B1356+A1357</f>
        <v>1354</v>
      </c>
      <c r="C1357" s="0" t="n">
        <f aca="false">$C$3+($G$1/($E$1*86.4))*SINH($E$1*B1357*86.4/$G$1)</f>
        <v>52714.8179159826</v>
      </c>
      <c r="D1357" s="0" t="n">
        <f aca="false">C1357-$C$3-B1357</f>
        <v>6756.81791598263</v>
      </c>
      <c r="E1357" s="0" t="n">
        <f aca="false">$E$1*B1357*86.4</f>
        <v>1147628.736</v>
      </c>
      <c r="F1357" s="0" t="n">
        <f aca="false">$G$1*G1357</f>
        <v>299714.754226578</v>
      </c>
      <c r="G1357" s="0" t="n">
        <f aca="false">TANH($E$1*B1357*86.4/$G$1)</f>
        <v>0.999049180755259</v>
      </c>
      <c r="H1357" s="0" t="n">
        <f aca="false">COSH($E$1*B1357*86.4/$G$1)</f>
        <v>22.93714071648</v>
      </c>
      <c r="I1357" s="0" t="n">
        <f aca="false">(($G$1^2*1000)/($E$1*$I$1))*(H1357-1)</f>
        <v>21.2728491999435</v>
      </c>
      <c r="J1357" s="0" t="n">
        <f aca="false">$J$3*EXP(-$E$1*B1357*86.4/$G$1)</f>
        <v>21.8090748125671</v>
      </c>
      <c r="K1357" s="0" t="n">
        <f aca="false">J1356-J1357</f>
        <v>0.0617038671929819</v>
      </c>
    </row>
    <row r="1358" customFormat="false" ht="12.8" hidden="false" customHeight="false" outlineLevel="0" collapsed="false">
      <c r="A1358" s="0" t="n">
        <v>1</v>
      </c>
      <c r="B1358" s="0" t="n">
        <f aca="false">B1357+A1358</f>
        <v>1355</v>
      </c>
      <c r="C1358" s="0" t="n">
        <f aca="false">$C$3+($G$1/($E$1*86.4))*SINH($E$1*B1358*86.4/$G$1)</f>
        <v>52737.7874583496</v>
      </c>
      <c r="D1358" s="0" t="n">
        <f aca="false">C1358-$C$3-B1358</f>
        <v>6778.78745834957</v>
      </c>
      <c r="E1358" s="0" t="n">
        <f aca="false">$E$1*B1358*86.4</f>
        <v>1148476.32</v>
      </c>
      <c r="F1358" s="0" t="n">
        <f aca="false">$G$1*G1358</f>
        <v>299716.360719918</v>
      </c>
      <c r="G1358" s="0" t="n">
        <f aca="false">TANH($E$1*B1358*86.4/$G$1)</f>
        <v>0.999054535733061</v>
      </c>
      <c r="H1358" s="0" t="n">
        <f aca="false">COSH($E$1*B1358*86.4/$G$1)</f>
        <v>23.0019745753559</v>
      </c>
      <c r="I1358" s="0" t="n">
        <f aca="false">(($G$1^2*1000)/($E$1*$I$1))*(H1358-1)</f>
        <v>21.3357197864408</v>
      </c>
      <c r="J1358" s="0" t="n">
        <f aca="false">$J$3*EXP(-$E$1*B1358*86.4/$G$1)</f>
        <v>21.7475450300412</v>
      </c>
      <c r="K1358" s="0" t="n">
        <f aca="false">J1357-J1358</f>
        <v>0.0615297825258452</v>
      </c>
    </row>
    <row r="1359" customFormat="false" ht="12.8" hidden="false" customHeight="false" outlineLevel="0" collapsed="false">
      <c r="A1359" s="0" t="n">
        <v>1</v>
      </c>
      <c r="B1359" s="0" t="n">
        <f aca="false">B1358+A1359</f>
        <v>1356</v>
      </c>
      <c r="C1359" s="0" t="n">
        <f aca="false">$C$3+($G$1/($E$1*86.4))*SINH($E$1*B1359*86.4/$G$1)</f>
        <v>52760.8219263355</v>
      </c>
      <c r="D1359" s="0" t="n">
        <f aca="false">C1359-$C$3-B1359</f>
        <v>6800.82192633554</v>
      </c>
      <c r="E1359" s="0" t="n">
        <f aca="false">$E$1*B1359*86.4</f>
        <v>1149323.904</v>
      </c>
      <c r="F1359" s="0" t="n">
        <f aca="false">$G$1*G1359</f>
        <v>299717.958169805</v>
      </c>
      <c r="G1359" s="0" t="n">
        <f aca="false">TANH($E$1*B1359*86.4/$G$1)</f>
        <v>0.999059860566015</v>
      </c>
      <c r="H1359" s="0" t="n">
        <f aca="false">COSH($E$1*B1359*86.4/$G$1)</f>
        <v>23.0669920408783</v>
      </c>
      <c r="I1359" s="0" t="n">
        <f aca="false">(($G$1^2*1000)/($E$1*$I$1))*(H1359-1)</f>
        <v>21.3987684196832</v>
      </c>
      <c r="J1359" s="0" t="n">
        <f aca="false">$J$3*EXP(-$E$1*B1359*86.4/$G$1)</f>
        <v>21.6861888410387</v>
      </c>
      <c r="K1359" s="0" t="n">
        <f aca="false">J1358-J1359</f>
        <v>0.0613561890025025</v>
      </c>
    </row>
    <row r="1360" customFormat="false" ht="12.8" hidden="false" customHeight="false" outlineLevel="0" collapsed="false">
      <c r="A1360" s="0" t="n">
        <v>1</v>
      </c>
      <c r="B1360" s="0" t="n">
        <f aca="false">B1359+A1360</f>
        <v>1357</v>
      </c>
      <c r="C1360" s="0" t="n">
        <f aca="false">$C$3+($G$1/($E$1*86.4))*SINH($E$1*B1360*86.4/$G$1)</f>
        <v>52783.9215038065</v>
      </c>
      <c r="D1360" s="0" t="n">
        <f aca="false">C1360-$C$3-B1360</f>
        <v>6822.92150380653</v>
      </c>
      <c r="E1360" s="0" t="n">
        <f aca="false">$E$1*B1360*86.4</f>
        <v>1150171.488</v>
      </c>
      <c r="F1360" s="0" t="n">
        <f aca="false">$G$1*G1360</f>
        <v>299719.546627097</v>
      </c>
      <c r="G1360" s="0" t="n">
        <f aca="false">TANH($E$1*B1360*86.4/$G$1)</f>
        <v>0.999065155423658</v>
      </c>
      <c r="H1360" s="0" t="n">
        <f aca="false">COSH($E$1*B1360*86.4/$G$1)</f>
        <v>23.1321936320303</v>
      </c>
      <c r="I1360" s="0" t="n">
        <f aca="false">(($G$1^2*1000)/($E$1*$I$1))*(H1360-1)</f>
        <v>21.4619956029382</v>
      </c>
      <c r="J1360" s="0" t="n">
        <f aca="false">$J$3*EXP(-$E$1*B1360*86.4/$G$1)</f>
        <v>21.6250057558015</v>
      </c>
      <c r="K1360" s="0" t="n">
        <f aca="false">J1359-J1360</f>
        <v>0.0611830852372819</v>
      </c>
    </row>
    <row r="1361" customFormat="false" ht="12.8" hidden="false" customHeight="false" outlineLevel="0" collapsed="false">
      <c r="A1361" s="0" t="n">
        <v>1</v>
      </c>
      <c r="B1361" s="0" t="n">
        <f aca="false">B1360+A1361</f>
        <v>1358</v>
      </c>
      <c r="C1361" s="0" t="n">
        <f aca="false">$C$3+($G$1/($E$1*86.4))*SINH($E$1*B1361*86.4/$G$1)</f>
        <v>52807.0863751483</v>
      </c>
      <c r="D1361" s="0" t="n">
        <f aca="false">C1361-$C$3-B1361</f>
        <v>6845.08637514828</v>
      </c>
      <c r="E1361" s="0" t="n">
        <f aca="false">$E$1*B1361*86.4</f>
        <v>1151019.072</v>
      </c>
      <c r="F1361" s="0" t="n">
        <f aca="false">$G$1*G1361</f>
        <v>299721.126142372</v>
      </c>
      <c r="G1361" s="0" t="n">
        <f aca="false">TANH($E$1*B1361*86.4/$G$1)</f>
        <v>0.999070420474572</v>
      </c>
      <c r="H1361" s="0" t="n">
        <f aca="false">COSH($E$1*B1361*86.4/$G$1)</f>
        <v>23.1975798692649</v>
      </c>
      <c r="I1361" s="0" t="n">
        <f aca="false">(($G$1^2*1000)/($E$1*$I$1))*(H1361-1)</f>
        <v>21.5254018408988</v>
      </c>
      <c r="J1361" s="0" t="n">
        <f aca="false">$J$3*EXP(-$E$1*B1361*86.4/$G$1)</f>
        <v>21.563995285953</v>
      </c>
      <c r="K1361" s="0" t="n">
        <f aca="false">J1360-J1361</f>
        <v>0.0610104698484513</v>
      </c>
    </row>
    <row r="1362" customFormat="false" ht="12.8" hidden="false" customHeight="false" outlineLevel="0" collapsed="false">
      <c r="A1362" s="0" t="n">
        <v>1</v>
      </c>
      <c r="B1362" s="0" t="n">
        <f aca="false">B1361+A1362</f>
        <v>1359</v>
      </c>
      <c r="C1362" s="0" t="n">
        <f aca="false">$C$3+($G$1/($E$1*86.4))*SINH($E$1*B1362*86.4/$G$1)</f>
        <v>52830.3167252677</v>
      </c>
      <c r="D1362" s="0" t="n">
        <f aca="false">C1362-$C$3-B1362</f>
        <v>6867.31672526771</v>
      </c>
      <c r="E1362" s="0" t="n">
        <f aca="false">$E$1*B1362*86.4</f>
        <v>1151866.656</v>
      </c>
      <c r="F1362" s="0" t="n">
        <f aca="false">$G$1*G1362</f>
        <v>299722.696765919</v>
      </c>
      <c r="G1362" s="0" t="n">
        <f aca="false">TANH($E$1*B1362*86.4/$G$1)</f>
        <v>0.999075655886395</v>
      </c>
      <c r="H1362" s="0" t="n">
        <f aca="false">COSH($E$1*B1362*86.4/$G$1)</f>
        <v>23.2631512745089</v>
      </c>
      <c r="I1362" s="0" t="n">
        <f aca="false">(($G$1^2*1000)/($E$1*$I$1))*(H1362-1)</f>
        <v>21.5889876396868</v>
      </c>
      <c r="J1362" s="0" t="n">
        <f aca="false">$J$3*EXP(-$E$1*B1362*86.4/$G$1)</f>
        <v>21.5031569444949</v>
      </c>
      <c r="K1362" s="0" t="n">
        <f aca="false">J1361-J1362</f>
        <v>0.0608383414581439</v>
      </c>
    </row>
    <row r="1363" customFormat="false" ht="12.8" hidden="false" customHeight="false" outlineLevel="0" collapsed="false">
      <c r="A1363" s="0" t="n">
        <v>1</v>
      </c>
      <c r="B1363" s="0" t="n">
        <f aca="false">B1362+A1363</f>
        <v>1360</v>
      </c>
      <c r="C1363" s="0" t="n">
        <f aca="false">$C$3+($G$1/($E$1*86.4))*SINH($E$1*B1363*86.4/$G$1)</f>
        <v>52853.6127395944</v>
      </c>
      <c r="D1363" s="0" t="n">
        <f aca="false">C1363-$C$3-B1363</f>
        <v>6889.61273959442</v>
      </c>
      <c r="E1363" s="0" t="n">
        <f aca="false">$E$1*B1363*86.4</f>
        <v>1152714.24</v>
      </c>
      <c r="F1363" s="0" t="n">
        <f aca="false">$G$1*G1363</f>
        <v>299724.258547747</v>
      </c>
      <c r="G1363" s="0" t="n">
        <f aca="false">TANH($E$1*B1363*86.4/$G$1)</f>
        <v>0.999080861825824</v>
      </c>
      <c r="H1363" s="0" t="n">
        <f aca="false">COSH($E$1*B1363*86.4/$G$1)</f>
        <v>23.3289083711671</v>
      </c>
      <c r="I1363" s="0" t="n">
        <f aca="false">(($G$1^2*1000)/($E$1*$I$1))*(H1363-1)</f>
        <v>21.6527535068578</v>
      </c>
      <c r="J1363" s="0" t="n">
        <f aca="false">$J$3*EXP(-$E$1*B1363*86.4/$G$1)</f>
        <v>21.4424902458025</v>
      </c>
      <c r="K1363" s="0" t="n">
        <f aca="false">J1362-J1363</f>
        <v>0.0606666986923941</v>
      </c>
    </row>
    <row r="1364" customFormat="false" ht="12.8" hidden="false" customHeight="false" outlineLevel="0" collapsed="false">
      <c r="A1364" s="0" t="n">
        <v>1</v>
      </c>
      <c r="B1364" s="0" t="n">
        <f aca="false">B1363+A1364</f>
        <v>1361</v>
      </c>
      <c r="C1364" s="0" t="n">
        <f aca="false">$C$3+($G$1/($E$1*86.4))*SINH($E$1*B1364*86.4/$G$1)</f>
        <v>52876.9746040821</v>
      </c>
      <c r="D1364" s="0" t="n">
        <f aca="false">C1364-$C$3-B1364</f>
        <v>6911.97460408213</v>
      </c>
      <c r="E1364" s="0" t="n">
        <f aca="false">$E$1*B1364*86.4</f>
        <v>1153561.824</v>
      </c>
      <c r="F1364" s="0" t="n">
        <f aca="false">$G$1*G1364</f>
        <v>299725.811537586</v>
      </c>
      <c r="G1364" s="0" t="n">
        <f aca="false">TANH($E$1*B1364*86.4/$G$1)</f>
        <v>0.999086038458618</v>
      </c>
      <c r="H1364" s="0" t="n">
        <f aca="false">COSH($E$1*B1364*86.4/$G$1)</f>
        <v>23.3948516841268</v>
      </c>
      <c r="I1364" s="0" t="n">
        <f aca="false">(($G$1^2*1000)/($E$1*$I$1))*(H1364-1)</f>
        <v>21.7166999514043</v>
      </c>
      <c r="J1364" s="0" t="n">
        <f aca="false">$J$3*EXP(-$E$1*B1364*86.4/$G$1)</f>
        <v>21.3819947056214</v>
      </c>
      <c r="K1364" s="0" t="n">
        <f aca="false">J1363-J1364</f>
        <v>0.0604955401811083</v>
      </c>
    </row>
    <row r="1365" customFormat="false" ht="12.8" hidden="false" customHeight="false" outlineLevel="0" collapsed="false">
      <c r="A1365" s="0" t="n">
        <v>1</v>
      </c>
      <c r="B1365" s="0" t="n">
        <f aca="false">B1364+A1365</f>
        <v>1362</v>
      </c>
      <c r="C1365" s="0" t="n">
        <f aca="false">$C$3+($G$1/($E$1*86.4))*SINH($E$1*B1365*86.4/$G$1)</f>
        <v>52900.4025052102</v>
      </c>
      <c r="D1365" s="0" t="n">
        <f aca="false">C1365-$C$3-B1365</f>
        <v>6934.40250521022</v>
      </c>
      <c r="E1365" s="0" t="n">
        <f aca="false">$E$1*B1365*86.4</f>
        <v>1154409.408</v>
      </c>
      <c r="F1365" s="0" t="n">
        <f aca="false">$G$1*G1365</f>
        <v>299727.355784883</v>
      </c>
      <c r="G1365" s="0" t="n">
        <f aca="false">TANH($E$1*B1365*86.4/$G$1)</f>
        <v>0.999091185949609</v>
      </c>
      <c r="H1365" s="0" t="n">
        <f aca="false">COSH($E$1*B1365*86.4/$G$1)</f>
        <v>23.4609817397614</v>
      </c>
      <c r="I1365" s="0" t="n">
        <f aca="false">(($G$1^2*1000)/($E$1*$I$1))*(H1365-1)</f>
        <v>21.7808274837605</v>
      </c>
      <c r="J1365" s="0" t="n">
        <f aca="false">$J$3*EXP(-$E$1*B1365*86.4/$G$1)</f>
        <v>21.3216698410632</v>
      </c>
      <c r="K1365" s="0" t="n">
        <f aca="false">J1364-J1365</f>
        <v>0.0603248645581296</v>
      </c>
    </row>
    <row r="1366" customFormat="false" ht="12.8" hidden="false" customHeight="false" outlineLevel="0" collapsed="false">
      <c r="A1366" s="0" t="n">
        <v>1</v>
      </c>
      <c r="B1366" s="0" t="n">
        <f aca="false">B1365+A1366</f>
        <v>1363</v>
      </c>
      <c r="C1366" s="0" t="n">
        <f aca="false">$C$3+($G$1/($E$1*86.4))*SINH($E$1*B1366*86.4/$G$1)</f>
        <v>52923.8966299851</v>
      </c>
      <c r="D1366" s="0" t="n">
        <f aca="false">C1366-$C$3-B1366</f>
        <v>6956.89662998515</v>
      </c>
      <c r="E1366" s="0" t="n">
        <f aca="false">$E$1*B1366*86.4</f>
        <v>1155256.992</v>
      </c>
      <c r="F1366" s="0" t="n">
        <f aca="false">$G$1*G1366</f>
        <v>299728.89133881</v>
      </c>
      <c r="G1366" s="0" t="n">
        <f aca="false">TANH($E$1*B1366*86.4/$G$1)</f>
        <v>0.9990963044627</v>
      </c>
      <c r="H1366" s="0" t="n">
        <f aca="false">COSH($E$1*B1366*86.4/$G$1)</f>
        <v>23.527299065935</v>
      </c>
      <c r="I1366" s="0" t="n">
        <f aca="false">(($G$1^2*1000)/($E$1*$I$1))*(H1366-1)</f>
        <v>21.845136615806</v>
      </c>
      <c r="J1366" s="0" t="n">
        <f aca="false">$J$3*EXP(-$E$1*B1366*86.4/$G$1)</f>
        <v>21.2615151706023</v>
      </c>
      <c r="K1366" s="0" t="n">
        <f aca="false">J1365-J1366</f>
        <v>0.0601546704609461</v>
      </c>
    </row>
    <row r="1367" customFormat="false" ht="12.8" hidden="false" customHeight="false" outlineLevel="0" collapsed="false">
      <c r="A1367" s="0" t="n">
        <v>1</v>
      </c>
      <c r="B1367" s="0" t="n">
        <f aca="false">B1366+A1367</f>
        <v>1364</v>
      </c>
      <c r="C1367" s="0" t="n">
        <f aca="false">$C$3+($G$1/($E$1*86.4))*SINH($E$1*B1367*86.4/$G$1)</f>
        <v>52947.457165942</v>
      </c>
      <c r="D1367" s="0" t="n">
        <f aca="false">C1367-$C$3-B1367</f>
        <v>6979.45716594203</v>
      </c>
      <c r="E1367" s="0" t="n">
        <f aca="false">$E$1*B1367*86.4</f>
        <v>1156104.576</v>
      </c>
      <c r="F1367" s="0" t="n">
        <f aca="false">$G$1*G1367</f>
        <v>299730.418248263</v>
      </c>
      <c r="G1367" s="0" t="n">
        <f aca="false">TANH($E$1*B1367*86.4/$G$1)</f>
        <v>0.999101394160877</v>
      </c>
      <c r="H1367" s="0" t="n">
        <f aca="false">COSH($E$1*B1367*86.4/$G$1)</f>
        <v>23.5938041920068</v>
      </c>
      <c r="I1367" s="0" t="n">
        <f aca="false">(($G$1^2*1000)/($E$1*$I$1))*(H1367-1)</f>
        <v>21.9096278608698</v>
      </c>
      <c r="J1367" s="0" t="n">
        <f aca="false">$J$3*EXP(-$E$1*B1367*86.4/$G$1)</f>
        <v>21.2015302140711</v>
      </c>
      <c r="K1367" s="0" t="n">
        <f aca="false">J1366-J1367</f>
        <v>0.059984956531185</v>
      </c>
    </row>
    <row r="1368" customFormat="false" ht="12.8" hidden="false" customHeight="false" outlineLevel="0" collapsed="false">
      <c r="A1368" s="0" t="n">
        <v>1</v>
      </c>
      <c r="B1368" s="0" t="n">
        <f aca="false">B1367+A1368</f>
        <v>1365</v>
      </c>
      <c r="C1368" s="0" t="n">
        <f aca="false">$C$3+($G$1/($E$1*86.4))*SINH($E$1*B1368*86.4/$G$1)</f>
        <v>52971.0843011461</v>
      </c>
      <c r="D1368" s="0" t="n">
        <f aca="false">C1368-$C$3-B1368</f>
        <v>7002.08430114607</v>
      </c>
      <c r="E1368" s="0" t="n">
        <f aca="false">$E$1*B1368*86.4</f>
        <v>1156952.16</v>
      </c>
      <c r="F1368" s="0" t="n">
        <f aca="false">$G$1*G1368</f>
        <v>299731.936561862</v>
      </c>
      <c r="G1368" s="0" t="n">
        <f aca="false">TANH($E$1*B1368*86.4/$G$1)</f>
        <v>0.999106455206207</v>
      </c>
      <c r="H1368" s="0" t="n">
        <f aca="false">COSH($E$1*B1368*86.4/$G$1)</f>
        <v>23.6604976488346</v>
      </c>
      <c r="I1368" s="0" t="n">
        <f aca="false">(($G$1^2*1000)/($E$1*$I$1))*(H1368-1)</f>
        <v>21.9743017337349</v>
      </c>
      <c r="J1368" s="0" t="n">
        <f aca="false">$J$3*EXP(-$E$1*B1368*86.4/$G$1)</f>
        <v>21.141714492657</v>
      </c>
      <c r="K1368" s="0" t="n">
        <f aca="false">J1367-J1368</f>
        <v>0.0598157214140649</v>
      </c>
    </row>
    <row r="1369" customFormat="false" ht="12.8" hidden="false" customHeight="false" outlineLevel="0" collapsed="false">
      <c r="A1369" s="0" t="n">
        <v>1</v>
      </c>
      <c r="B1369" s="0" t="n">
        <f aca="false">B1368+A1369</f>
        <v>1366</v>
      </c>
      <c r="C1369" s="0" t="n">
        <f aca="false">$C$3+($G$1/($E$1*86.4))*SINH($E$1*B1369*86.4/$G$1)</f>
        <v>52994.7782241941</v>
      </c>
      <c r="D1369" s="0" t="n">
        <f aca="false">C1369-$C$3-B1369</f>
        <v>7024.77822419406</v>
      </c>
      <c r="E1369" s="0" t="n">
        <f aca="false">$E$1*B1369*86.4</f>
        <v>1157799.744</v>
      </c>
      <c r="F1369" s="0" t="n">
        <f aca="false">$G$1*G1369</f>
        <v>299733.446327956</v>
      </c>
      <c r="G1369" s="0" t="n">
        <f aca="false">TANH($E$1*B1369*86.4/$G$1)</f>
        <v>0.999111487759852</v>
      </c>
      <c r="H1369" s="0" t="n">
        <f aca="false">COSH($E$1*B1369*86.4/$G$1)</f>
        <v>23.7273799687799</v>
      </c>
      <c r="I1369" s="0" t="n">
        <f aca="false">(($G$1^2*1000)/($E$1*$I$1))*(H1369-1)</f>
        <v>22.0391587506418</v>
      </c>
      <c r="J1369" s="0" t="n">
        <f aca="false">$J$3*EXP(-$E$1*B1369*86.4/$G$1)</f>
        <v>21.0820675288983</v>
      </c>
      <c r="K1369" s="0" t="n">
        <f aca="false">J1368-J1369</f>
        <v>0.0596469637587269</v>
      </c>
    </row>
    <row r="1370" customFormat="false" ht="12.8" hidden="false" customHeight="false" outlineLevel="0" collapsed="false">
      <c r="A1370" s="0" t="n">
        <v>1</v>
      </c>
      <c r="B1370" s="0" t="n">
        <f aca="false">B1369+A1370</f>
        <v>1367</v>
      </c>
      <c r="C1370" s="0" t="n">
        <f aca="false">$C$3+($G$1/($E$1*86.4))*SINH($E$1*B1370*86.4/$G$1)</f>
        <v>53018.5391242159</v>
      </c>
      <c r="D1370" s="0" t="n">
        <f aca="false">C1370-$C$3-B1370</f>
        <v>7047.53912421594</v>
      </c>
      <c r="E1370" s="0" t="n">
        <f aca="false">$E$1*B1370*86.4</f>
        <v>1158647.328</v>
      </c>
      <c r="F1370" s="0" t="n">
        <f aca="false">$G$1*G1370</f>
        <v>299734.94759462</v>
      </c>
      <c r="G1370" s="0" t="n">
        <f aca="false">TANH($E$1*B1370*86.4/$G$1)</f>
        <v>0.999116491982066</v>
      </c>
      <c r="H1370" s="0" t="n">
        <f aca="false">COSH($E$1*B1370*86.4/$G$1)</f>
        <v>23.7944516857115</v>
      </c>
      <c r="I1370" s="0" t="n">
        <f aca="false">(($G$1^2*1000)/($E$1*$I$1))*(H1370-1)</f>
        <v>22.1041994292931</v>
      </c>
      <c r="J1370" s="0" t="n">
        <f aca="false">$J$3*EXP(-$E$1*B1370*86.4/$G$1)</f>
        <v>21.0225888466802</v>
      </c>
      <c r="K1370" s="0" t="n">
        <f aca="false">J1369-J1370</f>
        <v>0.0594786822181455</v>
      </c>
    </row>
    <row r="1371" customFormat="false" ht="12.8" hidden="false" customHeight="false" outlineLevel="0" collapsed="false">
      <c r="A1371" s="0" t="n">
        <v>1</v>
      </c>
      <c r="B1371" s="0" t="n">
        <f aca="false">B1370+A1371</f>
        <v>1368</v>
      </c>
      <c r="C1371" s="0" t="n">
        <f aca="false">$C$3+($G$1/($E$1*86.4))*SINH($E$1*B1371*86.4/$G$1)</f>
        <v>53042.3671908763</v>
      </c>
      <c r="D1371" s="0" t="n">
        <f aca="false">C1371-$C$3-B1371</f>
        <v>7070.36719087625</v>
      </c>
      <c r="E1371" s="0" t="n">
        <f aca="false">$E$1*B1371*86.4</f>
        <v>1159494.912</v>
      </c>
      <c r="F1371" s="0" t="n">
        <f aca="false">$G$1*G1371</f>
        <v>299736.440409661</v>
      </c>
      <c r="G1371" s="0" t="n">
        <f aca="false">TANH($E$1*B1371*86.4/$G$1)</f>
        <v>0.999121468032202</v>
      </c>
      <c r="H1371" s="0" t="n">
        <f aca="false">COSH($E$1*B1371*86.4/$G$1)</f>
        <v>23.8617133350101</v>
      </c>
      <c r="I1371" s="0" t="n">
        <f aca="false">(($G$1^2*1000)/($E$1*$I$1))*(H1371-1)</f>
        <v>22.1694242888571</v>
      </c>
      <c r="J1371" s="0" t="n">
        <f aca="false">$J$3*EXP(-$E$1*B1371*86.4/$G$1)</f>
        <v>20.9632779712312</v>
      </c>
      <c r="K1371" s="0" t="n">
        <f aca="false">J1370-J1371</f>
        <v>0.059310875449011</v>
      </c>
    </row>
    <row r="1372" customFormat="false" ht="12.8" hidden="false" customHeight="false" outlineLevel="0" collapsed="false">
      <c r="A1372" s="0" t="n">
        <v>1</v>
      </c>
      <c r="B1372" s="0" t="n">
        <f aca="false">B1371+A1372</f>
        <v>1369</v>
      </c>
      <c r="C1372" s="0" t="n">
        <f aca="false">$C$3+($G$1/($E$1*86.4))*SINH($E$1*B1372*86.4/$G$1)</f>
        <v>53066.2626143757</v>
      </c>
      <c r="D1372" s="0" t="n">
        <f aca="false">C1372-$C$3-B1372</f>
        <v>7093.26261437569</v>
      </c>
      <c r="E1372" s="0" t="n">
        <f aca="false">$E$1*B1372*86.4</f>
        <v>1160342.496</v>
      </c>
      <c r="F1372" s="0" t="n">
        <f aca="false">$G$1*G1372</f>
        <v>299737.924820617</v>
      </c>
      <c r="G1372" s="0" t="n">
        <f aca="false">TANH($E$1*B1372*86.4/$G$1)</f>
        <v>0.999126416068723</v>
      </c>
      <c r="H1372" s="0" t="n">
        <f aca="false">COSH($E$1*B1372*86.4/$G$1)</f>
        <v>23.9291654535725</v>
      </c>
      <c r="I1372" s="0" t="n">
        <f aca="false">(($G$1^2*1000)/($E$1*$I$1))*(H1372-1)</f>
        <v>22.2348338499726</v>
      </c>
      <c r="J1372" s="0" t="n">
        <f aca="false">$J$3*EXP(-$E$1*B1372*86.4/$G$1)</f>
        <v>20.9041344291192</v>
      </c>
      <c r="K1372" s="0" t="n">
        <f aca="false">J1371-J1372</f>
        <v>0.0591435421119151</v>
      </c>
    </row>
    <row r="1373" customFormat="false" ht="12.8" hidden="false" customHeight="false" outlineLevel="0" collapsed="false">
      <c r="A1373" s="0" t="n">
        <v>1</v>
      </c>
      <c r="B1373" s="0" t="n">
        <f aca="false">B1372+A1373</f>
        <v>1370</v>
      </c>
      <c r="C1373" s="0" t="n">
        <f aca="false">$C$3+($G$1/($E$1*86.4))*SINH($E$1*B1373*86.4/$G$1)</f>
        <v>53090.2255854526</v>
      </c>
      <c r="D1373" s="0" t="n">
        <f aca="false">C1373-$C$3-B1373</f>
        <v>7116.2255854526</v>
      </c>
      <c r="E1373" s="0" t="n">
        <f aca="false">$E$1*B1373*86.4</f>
        <v>1161190.08</v>
      </c>
      <c r="F1373" s="0" t="n">
        <f aca="false">$G$1*G1373</f>
        <v>299739.400874759</v>
      </c>
      <c r="G1373" s="0" t="n">
        <f aca="false">TANH($E$1*B1373*86.4/$G$1)</f>
        <v>0.999131336249197</v>
      </c>
      <c r="H1373" s="0" t="n">
        <f aca="false">COSH($E$1*B1373*86.4/$G$1)</f>
        <v>23.9968085798158</v>
      </c>
      <c r="I1373" s="0" t="n">
        <f aca="false">(($G$1^2*1000)/($E$1*$I$1))*(H1373-1)</f>
        <v>22.3004286347526</v>
      </c>
      <c r="J1373" s="0" t="n">
        <f aca="false">$J$3*EXP(-$E$1*B1373*86.4/$G$1)</f>
        <v>20.8451577482482</v>
      </c>
      <c r="K1373" s="0" t="n">
        <f aca="false">J1372-J1373</f>
        <v>0.058976680871087</v>
      </c>
    </row>
    <row r="1374" customFormat="false" ht="12.8" hidden="false" customHeight="false" outlineLevel="0" collapsed="false">
      <c r="A1374" s="0" t="n">
        <v>1</v>
      </c>
      <c r="B1374" s="0" t="n">
        <f aca="false">B1373+A1374</f>
        <v>1371</v>
      </c>
      <c r="C1374" s="0" t="n">
        <f aca="false">$C$3+($G$1/($E$1*86.4))*SINH($E$1*B1374*86.4/$G$1)</f>
        <v>53114.2562953845</v>
      </c>
      <c r="D1374" s="0" t="n">
        <f aca="false">C1374-$C$3-B1374</f>
        <v>7139.25629538452</v>
      </c>
      <c r="E1374" s="0" t="n">
        <f aca="false">$E$1*B1374*86.4</f>
        <v>1162037.664</v>
      </c>
      <c r="F1374" s="0" t="n">
        <f aca="false">$G$1*G1374</f>
        <v>299740.868619093</v>
      </c>
      <c r="G1374" s="0" t="n">
        <f aca="false">TANH($E$1*B1374*86.4/$G$1)</f>
        <v>0.999136228730311</v>
      </c>
      <c r="H1374" s="0" t="n">
        <f aca="false">COSH($E$1*B1374*86.4/$G$1)</f>
        <v>24.0646432536818</v>
      </c>
      <c r="I1374" s="0" t="n">
        <f aca="false">(($G$1^2*1000)/($E$1*$I$1))*(H1374-1)</f>
        <v>22.3662091667887</v>
      </c>
      <c r="J1374" s="0" t="n">
        <f aca="false">$J$3*EXP(-$E$1*B1374*86.4/$G$1)</f>
        <v>20.7863474578535</v>
      </c>
      <c r="K1374" s="0" t="n">
        <f aca="false">J1373-J1374</f>
        <v>0.0588102903946961</v>
      </c>
    </row>
    <row r="1375" customFormat="false" ht="12.8" hidden="false" customHeight="false" outlineLevel="0" collapsed="false">
      <c r="A1375" s="0" t="n">
        <v>1</v>
      </c>
      <c r="B1375" s="0" t="n">
        <f aca="false">B1374+A1375</f>
        <v>1372</v>
      </c>
      <c r="C1375" s="0" t="n">
        <f aca="false">$C$3+($G$1/($E$1*86.4))*SINH($E$1*B1375*86.4/$G$1)</f>
        <v>53138.3549359897</v>
      </c>
      <c r="D1375" s="0" t="n">
        <f aca="false">C1375-$C$3-B1375</f>
        <v>7162.35493598965</v>
      </c>
      <c r="E1375" s="0" t="n">
        <f aca="false">$E$1*B1375*86.4</f>
        <v>1162885.248</v>
      </c>
      <c r="F1375" s="0" t="n">
        <f aca="false">$G$1*G1375</f>
        <v>299742.328100361</v>
      </c>
      <c r="G1375" s="0" t="n">
        <f aca="false">TANH($E$1*B1375*86.4/$G$1)</f>
        <v>0.99914109366787</v>
      </c>
      <c r="H1375" s="0" t="n">
        <f aca="false">COSH($E$1*B1375*86.4/$G$1)</f>
        <v>24.1326700166413</v>
      </c>
      <c r="I1375" s="0" t="n">
        <f aca="false">(($G$1^2*1000)/($E$1*$I$1))*(H1375-1)</f>
        <v>22.4321759711549</v>
      </c>
      <c r="J1375" s="0" t="n">
        <f aca="false">$J$3*EXP(-$E$1*B1375*86.4/$G$1)</f>
        <v>20.7277030884989</v>
      </c>
      <c r="K1375" s="0" t="n">
        <f aca="false">J1374-J1375</f>
        <v>0.0586443693545142</v>
      </c>
    </row>
    <row r="1376" customFormat="false" ht="12.8" hidden="false" customHeight="false" outlineLevel="0" collapsed="false">
      <c r="A1376" s="0" t="n">
        <v>1</v>
      </c>
      <c r="B1376" s="0" t="n">
        <f aca="false">B1375+A1376</f>
        <v>1373</v>
      </c>
      <c r="C1376" s="0" t="n">
        <f aca="false">$C$3+($G$1/($E$1*86.4))*SINH($E$1*B1376*86.4/$G$1)</f>
        <v>53162.5216996285</v>
      </c>
      <c r="D1376" s="0" t="n">
        <f aca="false">C1376-$C$3-B1376</f>
        <v>7185.52169962848</v>
      </c>
      <c r="E1376" s="0" t="n">
        <f aca="false">$E$1*B1376*86.4</f>
        <v>1163732.832</v>
      </c>
      <c r="F1376" s="0" t="n">
        <f aca="false">$G$1*G1376</f>
        <v>299743.779365042</v>
      </c>
      <c r="G1376" s="0" t="n">
        <f aca="false">TANH($E$1*B1376*86.4/$G$1)</f>
        <v>0.999145931216806</v>
      </c>
      <c r="H1376" s="0" t="n">
        <f aca="false">COSH($E$1*B1376*86.4/$G$1)</f>
        <v>24.2008894116984</v>
      </c>
      <c r="I1376" s="0" t="n">
        <f aca="false">(($G$1^2*1000)/($E$1*$I$1))*(H1376-1)</f>
        <v>22.4983295744123</v>
      </c>
      <c r="J1376" s="0" t="n">
        <f aca="false">$J$3*EXP(-$E$1*B1376*86.4/$G$1)</f>
        <v>20.6692241720728</v>
      </c>
      <c r="K1376" s="0" t="n">
        <f aca="false">J1375-J1376</f>
        <v>0.0584789164261466</v>
      </c>
    </row>
    <row r="1377" customFormat="false" ht="12.8" hidden="false" customHeight="false" outlineLevel="0" collapsed="false">
      <c r="A1377" s="0" t="n">
        <v>1</v>
      </c>
      <c r="B1377" s="0" t="n">
        <f aca="false">B1376+A1377</f>
        <v>1374</v>
      </c>
      <c r="C1377" s="0" t="n">
        <f aca="false">$C$3+($G$1/($E$1*86.4))*SINH($E$1*B1377*86.4/$G$1)</f>
        <v>53186.7567792052</v>
      </c>
      <c r="D1377" s="0" t="n">
        <f aca="false">C1377-$C$3-B1377</f>
        <v>7208.75677920524</v>
      </c>
      <c r="E1377" s="0" t="n">
        <f aca="false">$E$1*B1377*86.4</f>
        <v>1164580.416</v>
      </c>
      <c r="F1377" s="0" t="n">
        <f aca="false">$G$1*G1377</f>
        <v>299745.222459354</v>
      </c>
      <c r="G1377" s="0" t="n">
        <f aca="false">TANH($E$1*B1377*86.4/$G$1)</f>
        <v>0.999150741531179</v>
      </c>
      <c r="H1377" s="0" t="n">
        <f aca="false">COSH($E$1*B1377*86.4/$G$1)</f>
        <v>24.2693019833948</v>
      </c>
      <c r="I1377" s="0" t="n">
        <f aca="false">(($G$1^2*1000)/($E$1*$I$1))*(H1377-1)</f>
        <v>22.5646705046131</v>
      </c>
      <c r="J1377" s="0" t="n">
        <f aca="false">$J$3*EXP(-$E$1*B1377*86.4/$G$1)</f>
        <v>20.6109102417839</v>
      </c>
      <c r="K1377" s="0" t="n">
        <f aca="false">J1376-J1377</f>
        <v>0.0583139302889109</v>
      </c>
    </row>
    <row r="1378" customFormat="false" ht="12.8" hidden="false" customHeight="false" outlineLevel="0" collapsed="false">
      <c r="A1378" s="0" t="n">
        <v>1</v>
      </c>
      <c r="B1378" s="0" t="n">
        <f aca="false">B1377+A1378</f>
        <v>1375</v>
      </c>
      <c r="C1378" s="0" t="n">
        <f aca="false">$C$3+($G$1/($E$1*86.4))*SINH($E$1*B1378*86.4/$G$1)</f>
        <v>53211.0603681695</v>
      </c>
      <c r="D1378" s="0" t="n">
        <f aca="false">C1378-$C$3-B1378</f>
        <v>7232.06036816949</v>
      </c>
      <c r="E1378" s="0" t="n">
        <f aca="false">$E$1*B1378*86.4</f>
        <v>1165428</v>
      </c>
      <c r="F1378" s="0" t="n">
        <f aca="false">$G$1*G1378</f>
        <v>299746.657429255</v>
      </c>
      <c r="G1378" s="0" t="n">
        <f aca="false">TANH($E$1*B1378*86.4/$G$1)</f>
        <v>0.999155524764185</v>
      </c>
      <c r="H1378" s="0" t="n">
        <f aca="false">COSH($E$1*B1378*86.4/$G$1)</f>
        <v>24.3379082778141</v>
      </c>
      <c r="I1378" s="0" t="n">
        <f aca="false">(($G$1^2*1000)/($E$1*$I$1))*(H1378-1)</f>
        <v>22.6311992913046</v>
      </c>
      <c r="J1378" s="0" t="n">
        <f aca="false">$J$3*EXP(-$E$1*B1378*86.4/$G$1)</f>
        <v>20.552760832158</v>
      </c>
      <c r="K1378" s="0" t="n">
        <f aca="false">J1377-J1378</f>
        <v>0.0581494096258339</v>
      </c>
    </row>
    <row r="1379" customFormat="false" ht="12.8" hidden="false" customHeight="false" outlineLevel="0" collapsed="false">
      <c r="A1379" s="0" t="n">
        <v>1</v>
      </c>
      <c r="B1379" s="0" t="n">
        <f aca="false">B1378+A1379</f>
        <v>1376</v>
      </c>
      <c r="C1379" s="0" t="n">
        <f aca="false">$C$3+($G$1/($E$1*86.4))*SINH($E$1*B1379*86.4/$G$1)</f>
        <v>53235.4326605177</v>
      </c>
      <c r="D1379" s="0" t="n">
        <f aca="false">C1379-$C$3-B1379</f>
        <v>7255.43266051765</v>
      </c>
      <c r="E1379" s="0" t="n">
        <f aca="false">$E$1*B1379*86.4</f>
        <v>1166275.584</v>
      </c>
      <c r="F1379" s="0" t="n">
        <f aca="false">$G$1*G1379</f>
        <v>299748.084320448</v>
      </c>
      <c r="G1379" s="0" t="n">
        <f aca="false">TANH($E$1*B1379*86.4/$G$1)</f>
        <v>0.99916028106816</v>
      </c>
      <c r="H1379" s="0" t="n">
        <f aca="false">COSH($E$1*B1379*86.4/$G$1)</f>
        <v>24.4067088425863</v>
      </c>
      <c r="I1379" s="0" t="n">
        <f aca="false">(($G$1^2*1000)/($E$1*$I$1))*(H1379-1)</f>
        <v>22.6979164655338</v>
      </c>
      <c r="J1379" s="0" t="n">
        <f aca="false">$J$3*EXP(-$E$1*B1379*86.4/$G$1)</f>
        <v>20.4947754790343</v>
      </c>
      <c r="K1379" s="0" t="n">
        <f aca="false">J1378-J1379</f>
        <v>0.0579853531237404</v>
      </c>
    </row>
    <row r="1380" customFormat="false" ht="12.8" hidden="false" customHeight="false" outlineLevel="0" collapsed="false">
      <c r="A1380" s="0" t="n">
        <v>1</v>
      </c>
      <c r="B1380" s="0" t="n">
        <f aca="false">B1379+A1380</f>
        <v>1377</v>
      </c>
      <c r="C1380" s="0" t="n">
        <f aca="false">$C$3+($G$1/($E$1*86.4))*SINH($E$1*B1380*86.4/$G$1)</f>
        <v>53259.8738507945</v>
      </c>
      <c r="D1380" s="0" t="n">
        <f aca="false">C1380-$C$3-B1380</f>
        <v>7278.87385079449</v>
      </c>
      <c r="E1380" s="0" t="n">
        <f aca="false">$E$1*B1380*86.4</f>
        <v>1167123.168</v>
      </c>
      <c r="F1380" s="0" t="n">
        <f aca="false">$G$1*G1380</f>
        <v>299749.503178375</v>
      </c>
      <c r="G1380" s="0" t="n">
        <f aca="false">TANH($E$1*B1380*86.4/$G$1)</f>
        <v>0.999165010594584</v>
      </c>
      <c r="H1380" s="0" t="n">
        <f aca="false">COSH($E$1*B1380*86.4/$G$1)</f>
        <v>24.4757042268922</v>
      </c>
      <c r="I1380" s="0" t="n">
        <f aca="false">(($G$1^2*1000)/($E$1*$I$1))*(H1380-1)</f>
        <v>22.7648225598512</v>
      </c>
      <c r="J1380" s="0" t="n">
        <f aca="false">$J$3*EXP(-$E$1*B1380*86.4/$G$1)</f>
        <v>20.4369537195613</v>
      </c>
      <c r="K1380" s="0" t="n">
        <f aca="false">J1379-J1380</f>
        <v>0.0578217594729935</v>
      </c>
    </row>
    <row r="1381" customFormat="false" ht="12.8" hidden="false" customHeight="false" outlineLevel="0" collapsed="false">
      <c r="A1381" s="0" t="n">
        <v>1</v>
      </c>
      <c r="B1381" s="0" t="n">
        <f aca="false">B1380+A1381</f>
        <v>1378</v>
      </c>
      <c r="C1381" s="0" t="n">
        <f aca="false">$C$3+($G$1/($E$1*86.4))*SINH($E$1*B1381*86.4/$G$1)</f>
        <v>53284.3841340948</v>
      </c>
      <c r="D1381" s="0" t="n">
        <f aca="false">C1381-$C$3-B1381</f>
        <v>7302.38413409483</v>
      </c>
      <c r="E1381" s="0" t="n">
        <f aca="false">$E$1*B1381*86.4</f>
        <v>1167970.752</v>
      </c>
      <c r="F1381" s="0" t="n">
        <f aca="false">$G$1*G1381</f>
        <v>299750.914048226</v>
      </c>
      <c r="G1381" s="0" t="n">
        <f aca="false">TANH($E$1*B1381*86.4/$G$1)</f>
        <v>0.999169713494086</v>
      </c>
      <c r="H1381" s="0" t="n">
        <f aca="false">COSH($E$1*B1381*86.4/$G$1)</f>
        <v>24.5448949814676</v>
      </c>
      <c r="I1381" s="0" t="n">
        <f aca="false">(($G$1^2*1000)/($E$1*$I$1))*(H1381-1)</f>
        <v>22.8319181083156</v>
      </c>
      <c r="J1381" s="0" t="n">
        <f aca="false">$J$3*EXP(-$E$1*B1381*86.4/$G$1)</f>
        <v>20.3792950921935</v>
      </c>
      <c r="K1381" s="0" t="n">
        <f aca="false">J1380-J1381</f>
        <v>0.0576586273678537</v>
      </c>
    </row>
    <row r="1382" customFormat="false" ht="12.8" hidden="false" customHeight="false" outlineLevel="0" collapsed="false">
      <c r="A1382" s="0" t="n">
        <v>1</v>
      </c>
      <c r="B1382" s="0" t="n">
        <f aca="false">B1381+A1382</f>
        <v>1379</v>
      </c>
      <c r="C1382" s="0" t="n">
        <f aca="false">$C$3+($G$1/($E$1*86.4))*SINH($E$1*B1382*86.4/$G$1)</f>
        <v>53308.9637060649</v>
      </c>
      <c r="D1382" s="0" t="n">
        <f aca="false">C1382-$C$3-B1382</f>
        <v>7325.96370606493</v>
      </c>
      <c r="E1382" s="0" t="n">
        <f aca="false">$E$1*B1382*86.4</f>
        <v>1168818.336</v>
      </c>
      <c r="F1382" s="0" t="n">
        <f aca="false">$G$1*G1382</f>
        <v>299752.316974935</v>
      </c>
      <c r="G1382" s="0" t="n">
        <f aca="false">TANH($E$1*B1382*86.4/$G$1)</f>
        <v>0.99917438991645</v>
      </c>
      <c r="H1382" s="0" t="n">
        <f aca="false">COSH($E$1*B1382*86.4/$G$1)</f>
        <v>24.6142816586078</v>
      </c>
      <c r="I1382" s="0" t="n">
        <f aca="false">(($G$1^2*1000)/($E$1*$I$1))*(H1382-1)</f>
        <v>22.8992036464979</v>
      </c>
      <c r="J1382" s="0" t="n">
        <f aca="false">$J$3*EXP(-$E$1*B1382*86.4/$G$1)</f>
        <v>20.3217991366874</v>
      </c>
      <c r="K1382" s="0" t="n">
        <f aca="false">J1381-J1382</f>
        <v>0.0574959555061092</v>
      </c>
    </row>
    <row r="1383" customFormat="false" ht="12.8" hidden="false" customHeight="false" outlineLevel="0" collapsed="false">
      <c r="A1383" s="0" t="n">
        <v>1</v>
      </c>
      <c r="B1383" s="0" t="n">
        <f aca="false">B1382+A1383</f>
        <v>1380</v>
      </c>
      <c r="C1383" s="0" t="n">
        <f aca="false">$C$3+($G$1/($E$1*86.4))*SINH($E$1*B1383*86.4/$G$1)</f>
        <v>53333.6127629042</v>
      </c>
      <c r="D1383" s="0" t="n">
        <f aca="false">C1383-$C$3-B1383</f>
        <v>7349.61276290417</v>
      </c>
      <c r="E1383" s="0" t="n">
        <f aca="false">$E$1*B1383*86.4</f>
        <v>1169665.92</v>
      </c>
      <c r="F1383" s="0" t="n">
        <f aca="false">$G$1*G1383</f>
        <v>299753.712003186</v>
      </c>
      <c r="G1383" s="0" t="n">
        <f aca="false">TANH($E$1*B1383*86.4/$G$1)</f>
        <v>0.999179040010618</v>
      </c>
      <c r="H1383" s="0" t="n">
        <f aca="false">COSH($E$1*B1383*86.4/$G$1)</f>
        <v>24.683864812172</v>
      </c>
      <c r="I1383" s="0" t="n">
        <f aca="false">(($G$1^2*1000)/($E$1*$I$1))*(H1383-1)</f>
        <v>22.9666797114855</v>
      </c>
      <c r="J1383" s="0" t="n">
        <f aca="false">$J$3*EXP(-$E$1*B1383*86.4/$G$1)</f>
        <v>20.2644653940981</v>
      </c>
      <c r="K1383" s="0" t="n">
        <f aca="false">J1382-J1383</f>
        <v>0.0573337425892824</v>
      </c>
    </row>
    <row r="1384" customFormat="false" ht="12.8" hidden="false" customHeight="false" outlineLevel="0" collapsed="false">
      <c r="A1384" s="0" t="n">
        <v>1</v>
      </c>
      <c r="B1384" s="0" t="n">
        <f aca="false">B1383+A1384</f>
        <v>1381</v>
      </c>
      <c r="C1384" s="0" t="n">
        <f aca="false">$C$3+($G$1/($E$1*86.4))*SINH($E$1*B1384*86.4/$G$1)</f>
        <v>53358.3315013665</v>
      </c>
      <c r="D1384" s="0" t="n">
        <f aca="false">C1384-$C$3-B1384</f>
        <v>7373.33150136654</v>
      </c>
      <c r="E1384" s="0" t="n">
        <f aca="false">$E$1*B1384*86.4</f>
        <v>1170513.504</v>
      </c>
      <c r="F1384" s="0" t="n">
        <f aca="false">$G$1*G1384</f>
        <v>299755.099177409</v>
      </c>
      <c r="G1384" s="0" t="n">
        <f aca="false">TANH($E$1*B1384*86.4/$G$1)</f>
        <v>0.999183663924697</v>
      </c>
      <c r="H1384" s="0" t="n">
        <f aca="false">COSH($E$1*B1384*86.4/$G$1)</f>
        <v>24.7536449975877</v>
      </c>
      <c r="I1384" s="0" t="n">
        <f aca="false">(($G$1^2*1000)/($E$1*$I$1))*(H1384-1)</f>
        <v>23.0343468418867</v>
      </c>
      <c r="J1384" s="0" t="n">
        <f aca="false">$J$3*EXP(-$E$1*B1384*86.4/$G$1)</f>
        <v>20.2072934067755</v>
      </c>
      <c r="K1384" s="0" t="n">
        <f aca="false">J1383-J1384</f>
        <v>0.0571719873225867</v>
      </c>
    </row>
    <row r="1385" customFormat="false" ht="12.8" hidden="false" customHeight="false" outlineLevel="0" collapsed="false">
      <c r="A1385" s="0" t="n">
        <v>1</v>
      </c>
      <c r="B1385" s="0" t="n">
        <f aca="false">B1384+A1385</f>
        <v>1382</v>
      </c>
      <c r="C1385" s="0" t="n">
        <f aca="false">$C$3+($G$1/($E$1*86.4))*SINH($E$1*B1385*86.4/$G$1)</f>
        <v>53383.1201187623</v>
      </c>
      <c r="D1385" s="0" t="n">
        <f aca="false">C1385-$C$3-B1385</f>
        <v>7397.12011876228</v>
      </c>
      <c r="E1385" s="0" t="n">
        <f aca="false">$E$1*B1385*86.4</f>
        <v>1171361.088</v>
      </c>
      <c r="F1385" s="0" t="n">
        <f aca="false">$G$1*G1385</f>
        <v>299756.478541788</v>
      </c>
      <c r="G1385" s="0" t="n">
        <f aca="false">TANH($E$1*B1385*86.4/$G$1)</f>
        <v>0.99918826180596</v>
      </c>
      <c r="H1385" s="0" t="n">
        <f aca="false">COSH($E$1*B1385*86.4/$G$1)</f>
        <v>24.823622771855</v>
      </c>
      <c r="I1385" s="0" t="n">
        <f aca="false">(($G$1^2*1000)/($E$1*$I$1))*(H1385-1)</f>
        <v>23.1022055778349</v>
      </c>
      <c r="J1385" s="0" t="n">
        <f aca="false">$J$3*EXP(-$E$1*B1385*86.4/$G$1)</f>
        <v>20.1502827183607</v>
      </c>
      <c r="K1385" s="0" t="n">
        <f aca="false">J1384-J1385</f>
        <v>0.0570106884148203</v>
      </c>
    </row>
    <row r="1386" customFormat="false" ht="12.8" hidden="false" customHeight="false" outlineLevel="0" collapsed="false">
      <c r="A1386" s="0" t="n">
        <v>1</v>
      </c>
      <c r="B1386" s="0" t="n">
        <f aca="false">B1385+A1386</f>
        <v>1383</v>
      </c>
      <c r="C1386" s="0" t="n">
        <f aca="false">$C$3+($G$1/($E$1*86.4))*SINH($E$1*B1386*86.4/$G$1)</f>
        <v>53407.9788129594</v>
      </c>
      <c r="D1386" s="0" t="n">
        <f aca="false">C1386-$C$3-B1386</f>
        <v>7420.97881295938</v>
      </c>
      <c r="E1386" s="0" t="n">
        <f aca="false">$E$1*B1386*86.4</f>
        <v>1172208.672</v>
      </c>
      <c r="F1386" s="0" t="n">
        <f aca="false">$G$1*G1386</f>
        <v>299757.850140256</v>
      </c>
      <c r="G1386" s="0" t="n">
        <f aca="false">TANH($E$1*B1386*86.4/$G$1)</f>
        <v>0.999192833800854</v>
      </c>
      <c r="H1386" s="0" t="n">
        <f aca="false">COSH($E$1*B1386*86.4/$G$1)</f>
        <v>24.8937986935517</v>
      </c>
      <c r="I1386" s="0" t="n">
        <f aca="false">(($G$1^2*1000)/($E$1*$I$1))*(H1386-1)</f>
        <v>23.1702564609929</v>
      </c>
      <c r="J1386" s="0" t="n">
        <f aca="false">$J$3*EXP(-$E$1*B1386*86.4/$G$1)</f>
        <v>20.0934328737822</v>
      </c>
      <c r="K1386" s="0" t="n">
        <f aca="false">J1385-J1386</f>
        <v>0.0568498445784975</v>
      </c>
    </row>
    <row r="1387" customFormat="false" ht="12.8" hidden="false" customHeight="false" outlineLevel="0" collapsed="false">
      <c r="A1387" s="0" t="n">
        <v>1</v>
      </c>
      <c r="B1387" s="0" t="n">
        <f aca="false">B1386+A1387</f>
        <v>1384</v>
      </c>
      <c r="C1387" s="0" t="n">
        <f aca="false">$C$3+($G$1/($E$1*86.4))*SINH($E$1*B1387*86.4/$G$1)</f>
        <v>53432.9077823852</v>
      </c>
      <c r="D1387" s="0" t="n">
        <f aca="false">C1387-$C$3-B1387</f>
        <v>7444.90778238522</v>
      </c>
      <c r="E1387" s="0" t="n">
        <f aca="false">$E$1*B1387*86.4</f>
        <v>1173056.256</v>
      </c>
      <c r="F1387" s="0" t="n">
        <f aca="false">$G$1*G1387</f>
        <v>299759.214016501</v>
      </c>
      <c r="G1387" s="0" t="n">
        <f aca="false">TANH($E$1*B1387*86.4/$G$1)</f>
        <v>0.999197380055004</v>
      </c>
      <c r="H1387" s="0" t="n">
        <f aca="false">COSH($E$1*B1387*86.4/$G$1)</f>
        <v>24.9641733228366</v>
      </c>
      <c r="I1387" s="0" t="n">
        <f aca="false">(($G$1^2*1000)/($E$1*$I$1))*(H1387-1)</f>
        <v>23.2385000345574</v>
      </c>
      <c r="J1387" s="0" t="n">
        <f aca="false">$J$3*EXP(-$E$1*B1387*86.4/$G$1)</f>
        <v>20.0367434192525</v>
      </c>
      <c r="K1387" s="0" t="n">
        <f aca="false">J1386-J1387</f>
        <v>0.0566894545296712</v>
      </c>
    </row>
    <row r="1388" customFormat="false" ht="12.8" hidden="false" customHeight="false" outlineLevel="0" collapsed="false">
      <c r="A1388" s="0" t="n">
        <v>1</v>
      </c>
      <c r="B1388" s="0" t="n">
        <f aca="false">B1387+A1388</f>
        <v>1385</v>
      </c>
      <c r="C1388" s="0" t="n">
        <f aca="false">$C$3+($G$1/($E$1*86.4))*SINH($E$1*B1388*86.4/$G$1)</f>
        <v>53457.9072260282</v>
      </c>
      <c r="D1388" s="0" t="n">
        <f aca="false">C1388-$C$3-B1388</f>
        <v>7468.90722602815</v>
      </c>
      <c r="E1388" s="0" t="n">
        <f aca="false">$E$1*B1388*86.4</f>
        <v>1173903.84</v>
      </c>
      <c r="F1388" s="0" t="n">
        <f aca="false">$G$1*G1388</f>
        <v>299760.570213965</v>
      </c>
      <c r="G1388" s="0" t="n">
        <f aca="false">TANH($E$1*B1388*86.4/$G$1)</f>
        <v>0.999201900713216</v>
      </c>
      <c r="H1388" s="0" t="n">
        <f aca="false">COSH($E$1*B1388*86.4/$G$1)</f>
        <v>25.0347472214551</v>
      </c>
      <c r="I1388" s="0" t="n">
        <f aca="false">(($G$1^2*1000)/($E$1*$I$1))*(H1388-1)</f>
        <v>23.3069368432631</v>
      </c>
      <c r="J1388" s="0" t="n">
        <f aca="false">$J$3*EXP(-$E$1*B1388*86.4/$G$1)</f>
        <v>19.9802139022643</v>
      </c>
      <c r="K1388" s="0" t="n">
        <f aca="false">J1387-J1388</f>
        <v>0.0565295169881495</v>
      </c>
    </row>
    <row r="1389" customFormat="false" ht="12.8" hidden="false" customHeight="false" outlineLevel="0" collapsed="false">
      <c r="A1389" s="0" t="n">
        <v>1</v>
      </c>
      <c r="B1389" s="0" t="n">
        <f aca="false">B1388+A1389</f>
        <v>1386</v>
      </c>
      <c r="C1389" s="0" t="n">
        <f aca="false">$C$3+($G$1/($E$1*86.4))*SINH($E$1*B1389*86.4/$G$1)</f>
        <v>53482.977343439</v>
      </c>
      <c r="D1389" s="0" t="n">
        <f aca="false">C1389-$C$3-B1389</f>
        <v>7492.97734343901</v>
      </c>
      <c r="E1389" s="0" t="n">
        <f aca="false">$E$1*B1389*86.4</f>
        <v>1174751.424</v>
      </c>
      <c r="F1389" s="0" t="n">
        <f aca="false">$G$1*G1389</f>
        <v>299761.918775845</v>
      </c>
      <c r="G1389" s="0" t="n">
        <f aca="false">TANH($E$1*B1389*86.4/$G$1)</f>
        <v>0.999206395919484</v>
      </c>
      <c r="H1389" s="0" t="n">
        <f aca="false">COSH($E$1*B1389*86.4/$G$1)</f>
        <v>25.105520952743</v>
      </c>
      <c r="I1389" s="0" t="n">
        <f aca="false">(($G$1^2*1000)/($E$1*$I$1))*(H1389-1)</f>
        <v>23.3755674333871</v>
      </c>
      <c r="J1389" s="0" t="n">
        <f aca="false">$J$3*EXP(-$E$1*B1389*86.4/$G$1)</f>
        <v>19.9238438715871</v>
      </c>
      <c r="K1389" s="0" t="n">
        <f aca="false">J1388-J1389</f>
        <v>0.0563700306772219</v>
      </c>
    </row>
    <row r="1390" customFormat="false" ht="12.8" hidden="false" customHeight="false" outlineLevel="0" collapsed="false">
      <c r="A1390" s="0" t="n">
        <v>1</v>
      </c>
      <c r="B1390" s="0" t="n">
        <f aca="false">B1389+A1390</f>
        <v>1387</v>
      </c>
      <c r="C1390" s="0" t="n">
        <f aca="false">$C$3+($G$1/($E$1*86.4))*SINH($E$1*B1390*86.4/$G$1)</f>
        <v>53508.1183347328</v>
      </c>
      <c r="D1390" s="0" t="n">
        <f aca="false">C1390-$C$3-B1390</f>
        <v>7517.11833473282</v>
      </c>
      <c r="E1390" s="0" t="n">
        <f aca="false">$E$1*B1390*86.4</f>
        <v>1175599.008</v>
      </c>
      <c r="F1390" s="0" t="n">
        <f aca="false">$G$1*G1390</f>
        <v>299763.259745097</v>
      </c>
      <c r="G1390" s="0" t="n">
        <f aca="false">TANH($E$1*B1390*86.4/$G$1)</f>
        <v>0.999210865816991</v>
      </c>
      <c r="H1390" s="0" t="n">
        <f aca="false">COSH($E$1*B1390*86.4/$G$1)</f>
        <v>25.1764950816312</v>
      </c>
      <c r="I1390" s="0" t="n">
        <f aca="false">(($G$1^2*1000)/($E$1*$I$1))*(H1390-1)</f>
        <v>23.4443923527533</v>
      </c>
      <c r="J1390" s="0" t="n">
        <f aca="false">$J$3*EXP(-$E$1*B1390*86.4/$G$1)</f>
        <v>19.8676328772633</v>
      </c>
      <c r="K1390" s="0" t="n">
        <f aca="false">J1389-J1390</f>
        <v>0.0562109943238518</v>
      </c>
    </row>
    <row r="1391" customFormat="false" ht="12.8" hidden="false" customHeight="false" outlineLevel="0" collapsed="false">
      <c r="A1391" s="0" t="n">
        <v>1</v>
      </c>
      <c r="B1391" s="0" t="n">
        <f aca="false">B1390+A1391</f>
        <v>1388</v>
      </c>
      <c r="C1391" s="0" t="n">
        <f aca="false">$C$3+($G$1/($E$1*86.4))*SINH($E$1*B1391*86.4/$G$1)</f>
        <v>53533.3304005903</v>
      </c>
      <c r="D1391" s="0" t="n">
        <f aca="false">C1391-$C$3-B1391</f>
        <v>7541.3304005903</v>
      </c>
      <c r="E1391" s="0" t="n">
        <f aca="false">$E$1*B1391*86.4</f>
        <v>1176446.592</v>
      </c>
      <c r="F1391" s="0" t="n">
        <f aca="false">$G$1*G1391</f>
        <v>299764.593164436</v>
      </c>
      <c r="G1391" s="0" t="n">
        <f aca="false">TANH($E$1*B1391*86.4/$G$1)</f>
        <v>0.99921531054812</v>
      </c>
      <c r="H1391" s="0" t="n">
        <f aca="false">COSH($E$1*B1391*86.4/$G$1)</f>
        <v>25.2476701746504</v>
      </c>
      <c r="I1391" s="0" t="n">
        <f aca="false">(($G$1^2*1000)/($E$1*$I$1))*(H1391-1)</f>
        <v>23.5134121507369</v>
      </c>
      <c r="J1391" s="0" t="n">
        <f aca="false">$J$3*EXP(-$E$1*B1391*86.4/$G$1)</f>
        <v>19.8115804706047</v>
      </c>
      <c r="K1391" s="0" t="n">
        <f aca="false">J1390-J1391</f>
        <v>0.0560524066585835</v>
      </c>
    </row>
    <row r="1392" customFormat="false" ht="12.8" hidden="false" customHeight="false" outlineLevel="0" collapsed="false">
      <c r="A1392" s="0" t="n">
        <v>1</v>
      </c>
      <c r="B1392" s="0" t="n">
        <f aca="false">B1391+A1392</f>
        <v>1389</v>
      </c>
      <c r="C1392" s="0" t="n">
        <f aca="false">$C$3+($G$1/($E$1*86.4))*SINH($E$1*B1392*86.4/$G$1)</f>
        <v>53558.6137422595</v>
      </c>
      <c r="D1392" s="0" t="n">
        <f aca="false">C1392-$C$3-B1392</f>
        <v>7565.61374225951</v>
      </c>
      <c r="E1392" s="0" t="n">
        <f aca="false">$E$1*B1392*86.4</f>
        <v>1177294.176</v>
      </c>
      <c r="F1392" s="0" t="n">
        <f aca="false">$G$1*G1392</f>
        <v>299765.919076335</v>
      </c>
      <c r="G1392" s="0" t="n">
        <f aca="false">TANH($E$1*B1392*86.4/$G$1)</f>
        <v>0.999219730254449</v>
      </c>
      <c r="H1392" s="0" t="n">
        <f aca="false">COSH($E$1*B1392*86.4/$G$1)</f>
        <v>25.3190467999352</v>
      </c>
      <c r="I1392" s="0" t="n">
        <f aca="false">(($G$1^2*1000)/($E$1*$I$1))*(H1392-1)</f>
        <v>23.5826273782685</v>
      </c>
      <c r="J1392" s="0" t="n">
        <f aca="false">$J$3*EXP(-$E$1*B1392*86.4/$G$1)</f>
        <v>19.7556862041892</v>
      </c>
      <c r="K1392" s="0" t="n">
        <f aca="false">J1391-J1392</f>
        <v>0.0558942664154998</v>
      </c>
    </row>
    <row r="1393" customFormat="false" ht="12.8" hidden="false" customHeight="false" outlineLevel="0" collapsed="false">
      <c r="A1393" s="0" t="n">
        <v>1</v>
      </c>
      <c r="B1393" s="0" t="n">
        <f aca="false">B1392+A1393</f>
        <v>1390</v>
      </c>
      <c r="C1393" s="0" t="n">
        <f aca="false">$C$3+($G$1/($E$1*86.4))*SINH($E$1*B1393*86.4/$G$1)</f>
        <v>53583.9685615575</v>
      </c>
      <c r="D1393" s="0" t="n">
        <f aca="false">C1393-$C$3-B1393</f>
        <v>7589.96856155749</v>
      </c>
      <c r="E1393" s="0" t="n">
        <f aca="false">$E$1*B1393*86.4</f>
        <v>1178141.76</v>
      </c>
      <c r="F1393" s="0" t="n">
        <f aca="false">$G$1*G1393</f>
        <v>299767.237523029</v>
      </c>
      <c r="G1393" s="0" t="n">
        <f aca="false">TANH($E$1*B1393*86.4/$G$1)</f>
        <v>0.999224125076764</v>
      </c>
      <c r="H1393" s="0" t="n">
        <f aca="false">COSH($E$1*B1393*86.4/$G$1)</f>
        <v>25.390625527229</v>
      </c>
      <c r="I1393" s="0" t="n">
        <f aca="false">(($G$1^2*1000)/($E$1*$I$1))*(H1393-1)</f>
        <v>23.6520385878388</v>
      </c>
      <c r="J1393" s="0" t="n">
        <f aca="false">$J$3*EXP(-$E$1*B1393*86.4/$G$1)</f>
        <v>19.6999496318568</v>
      </c>
      <c r="K1393" s="0" t="n">
        <f aca="false">J1392-J1393</f>
        <v>0.055736572332389</v>
      </c>
    </row>
    <row r="1394" customFormat="false" ht="12.8" hidden="false" customHeight="false" outlineLevel="0" collapsed="false">
      <c r="A1394" s="0" t="n">
        <v>1</v>
      </c>
      <c r="B1394" s="0" t="n">
        <f aca="false">B1393+A1394</f>
        <v>1391</v>
      </c>
      <c r="C1394" s="0" t="n">
        <f aca="false">$C$3+($G$1/($E$1*86.4))*SINH($E$1*B1394*86.4/$G$1)</f>
        <v>53609.3950608718</v>
      </c>
      <c r="D1394" s="0" t="n">
        <f aca="false">C1394-$C$3-B1394</f>
        <v>7614.39506087176</v>
      </c>
      <c r="E1394" s="0" t="n">
        <f aca="false">$E$1*B1394*86.4</f>
        <v>1178989.344</v>
      </c>
      <c r="F1394" s="0" t="n">
        <f aca="false">$G$1*G1394</f>
        <v>299768.548546518</v>
      </c>
      <c r="G1394" s="0" t="n">
        <f aca="false">TANH($E$1*B1394*86.4/$G$1)</f>
        <v>0.99922849515506</v>
      </c>
      <c r="H1394" s="0" t="n">
        <f aca="false">COSH($E$1*B1394*86.4/$G$1)</f>
        <v>25.4624069278885</v>
      </c>
      <c r="I1394" s="0" t="n">
        <f aca="false">(($G$1^2*1000)/($E$1*$I$1))*(H1394-1)</f>
        <v>23.7216463335029</v>
      </c>
      <c r="J1394" s="0" t="n">
        <f aca="false">$J$3*EXP(-$E$1*B1394*86.4/$G$1)</f>
        <v>19.6443703087064</v>
      </c>
      <c r="K1394" s="0" t="n">
        <f aca="false">J1393-J1394</f>
        <v>0.0555793231503685</v>
      </c>
    </row>
    <row r="1395" customFormat="false" ht="12.8" hidden="false" customHeight="false" outlineLevel="0" collapsed="false">
      <c r="A1395" s="0" t="n">
        <v>1</v>
      </c>
      <c r="B1395" s="0" t="n">
        <f aca="false">B1394+A1395</f>
        <v>1392</v>
      </c>
      <c r="C1395" s="0" t="n">
        <f aca="false">$C$3+($G$1/($E$1*86.4))*SINH($E$1*B1395*86.4/$G$1)</f>
        <v>53634.893443162</v>
      </c>
      <c r="D1395" s="0" t="n">
        <f aca="false">C1395-$C$3-B1395</f>
        <v>7638.89344316202</v>
      </c>
      <c r="E1395" s="0" t="n">
        <f aca="false">$E$1*B1395*86.4</f>
        <v>1179836.928</v>
      </c>
      <c r="F1395" s="0" t="n">
        <f aca="false">$G$1*G1395</f>
        <v>299769.852188563</v>
      </c>
      <c r="G1395" s="0" t="n">
        <f aca="false">TANH($E$1*B1395*86.4/$G$1)</f>
        <v>0.999232840628544</v>
      </c>
      <c r="H1395" s="0" t="n">
        <f aca="false">COSH($E$1*B1395*86.4/$G$1)</f>
        <v>25.5343915748879</v>
      </c>
      <c r="I1395" s="0" t="n">
        <f aca="false">(($G$1^2*1000)/($E$1*$I$1))*(H1395-1)</f>
        <v>23.7914511708845</v>
      </c>
      <c r="J1395" s="0" t="n">
        <f aca="false">$J$3*EXP(-$E$1*B1395*86.4/$G$1)</f>
        <v>19.5889477910921</v>
      </c>
      <c r="K1395" s="0" t="n">
        <f aca="false">J1394-J1395</f>
        <v>0.0554225176143248</v>
      </c>
    </row>
    <row r="1396" customFormat="false" ht="12.8" hidden="false" customHeight="false" outlineLevel="0" collapsed="false">
      <c r="A1396" s="0" t="n">
        <v>1</v>
      </c>
      <c r="B1396" s="0" t="n">
        <f aca="false">B1395+A1396</f>
        <v>1393</v>
      </c>
      <c r="C1396" s="0" t="n">
        <f aca="false">$C$3+($G$1/($E$1*86.4))*SINH($E$1*B1396*86.4/$G$1)</f>
        <v>53660.4639119618</v>
      </c>
      <c r="D1396" s="0" t="n">
        <f aca="false">C1396-$C$3-B1396</f>
        <v>7663.46391196182</v>
      </c>
      <c r="E1396" s="0" t="n">
        <f aca="false">$E$1*B1396*86.4</f>
        <v>1180684.512</v>
      </c>
      <c r="F1396" s="0" t="n">
        <f aca="false">$G$1*G1396</f>
        <v>299771.148490693</v>
      </c>
      <c r="G1396" s="0" t="n">
        <f aca="false">TANH($E$1*B1396*86.4/$G$1)</f>
        <v>0.999237161635644</v>
      </c>
      <c r="H1396" s="0" t="n">
        <f aca="false">COSH($E$1*B1396*86.4/$G$1)</f>
        <v>25.6065800428241</v>
      </c>
      <c r="I1396" s="0" t="n">
        <f aca="false">(($G$1^2*1000)/($E$1*$I$1))*(H1396-1)</f>
        <v>23.8614536571806</v>
      </c>
      <c r="J1396" s="0" t="n">
        <f aca="false">$J$3*EXP(-$E$1*B1396*86.4/$G$1)</f>
        <v>19.5336816366195</v>
      </c>
      <c r="K1396" s="0" t="n">
        <f aca="false">J1395-J1396</f>
        <v>0.0552661544726121</v>
      </c>
    </row>
    <row r="1397" customFormat="false" ht="12.8" hidden="false" customHeight="false" outlineLevel="0" collapsed="false">
      <c r="A1397" s="0" t="n">
        <v>1</v>
      </c>
      <c r="B1397" s="0" t="n">
        <f aca="false">B1396+A1397</f>
        <v>1394</v>
      </c>
      <c r="C1397" s="0" t="n">
        <f aca="false">$C$3+($G$1/($E$1*86.4))*SINH($E$1*B1397*86.4/$G$1)</f>
        <v>53686.10667138</v>
      </c>
      <c r="D1397" s="0" t="n">
        <f aca="false">C1397-$C$3-B1397</f>
        <v>7688.10667138004</v>
      </c>
      <c r="E1397" s="0" t="n">
        <f aca="false">$E$1*B1397*86.4</f>
        <v>1181532.096</v>
      </c>
      <c r="F1397" s="0" t="n">
        <f aca="false">$G$1*G1397</f>
        <v>299772.437494202</v>
      </c>
      <c r="G1397" s="0" t="n">
        <f aca="false">TANH($E$1*B1397*86.4/$G$1)</f>
        <v>0.999241458314007</v>
      </c>
      <c r="H1397" s="0" t="n">
        <f aca="false">COSH($E$1*B1397*86.4/$G$1)</f>
        <v>25.6789729079208</v>
      </c>
      <c r="I1397" s="0" t="n">
        <f aca="false">(($G$1^2*1000)/($E$1*$I$1))*(H1397-1)</f>
        <v>23.931654351166</v>
      </c>
      <c r="J1397" s="0" t="n">
        <f aca="false">$J$3*EXP(-$E$1*B1397*86.4/$G$1)</f>
        <v>19.4785714041424</v>
      </c>
      <c r="K1397" s="0" t="n">
        <f aca="false">J1396-J1397</f>
        <v>0.0551102324770696</v>
      </c>
    </row>
    <row r="1398" customFormat="false" ht="12.8" hidden="false" customHeight="false" outlineLevel="0" collapsed="false">
      <c r="A1398" s="0" t="n">
        <v>1</v>
      </c>
      <c r="B1398" s="0" t="n">
        <f aca="false">B1397+A1398</f>
        <v>1395</v>
      </c>
      <c r="C1398" s="0" t="n">
        <f aca="false">$C$3+($G$1/($E$1*86.4))*SINH($E$1*B1398*86.4/$G$1)</f>
        <v>53711.8219261026</v>
      </c>
      <c r="D1398" s="0" t="n">
        <f aca="false">C1398-$C$3-B1398</f>
        <v>7712.82192610265</v>
      </c>
      <c r="E1398" s="0" t="n">
        <f aca="false">$E$1*B1398*86.4</f>
        <v>1182379.68</v>
      </c>
      <c r="F1398" s="0" t="n">
        <f aca="false">$G$1*G1398</f>
        <v>299773.719240153</v>
      </c>
      <c r="G1398" s="0" t="n">
        <f aca="false">TANH($E$1*B1398*86.4/$G$1)</f>
        <v>0.999245730800509</v>
      </c>
      <c r="H1398" s="0" t="n">
        <f aca="false">COSH($E$1*B1398*86.4/$G$1)</f>
        <v>25.751570748033</v>
      </c>
      <c r="I1398" s="0" t="n">
        <f aca="false">(($G$1^2*1000)/($E$1*$I$1))*(H1398-1)</f>
        <v>24.0020538131976</v>
      </c>
      <c r="J1398" s="0" t="n">
        <f aca="false">$J$3*EXP(-$E$1*B1398*86.4/$G$1)</f>
        <v>19.4236166537593</v>
      </c>
      <c r="K1398" s="0" t="n">
        <f aca="false">J1397-J1398</f>
        <v>0.0549547503831001</v>
      </c>
    </row>
    <row r="1399" customFormat="false" ht="12.8" hidden="false" customHeight="false" outlineLevel="0" collapsed="false">
      <c r="A1399" s="0" t="n">
        <v>1</v>
      </c>
      <c r="B1399" s="0" t="n">
        <f aca="false">B1398+A1399</f>
        <v>1396</v>
      </c>
      <c r="C1399" s="0" t="n">
        <f aca="false">$C$3+($G$1/($E$1*86.4))*SINH($E$1*B1399*86.4/$G$1)</f>
        <v>53737.6098813943</v>
      </c>
      <c r="D1399" s="0" t="n">
        <f aca="false">C1399-$C$3-B1399</f>
        <v>7737.60988139426</v>
      </c>
      <c r="E1399" s="0" t="n">
        <f aca="false">$E$1*B1399*86.4</f>
        <v>1183227.264</v>
      </c>
      <c r="F1399" s="0" t="n">
        <f aca="false">$G$1*G1399</f>
        <v>299774.993769377</v>
      </c>
      <c r="G1399" s="0" t="n">
        <f aca="false">TANH($E$1*B1399*86.4/$G$1)</f>
        <v>0.999249979231256</v>
      </c>
      <c r="H1399" s="0" t="n">
        <f aca="false">COSH($E$1*B1399*86.4/$G$1)</f>
        <v>25.8243741426524</v>
      </c>
      <c r="I1399" s="0" t="n">
        <f aca="false">(($G$1^2*1000)/($E$1*$I$1))*(H1399-1)</f>
        <v>24.0726526052187</v>
      </c>
      <c r="J1399" s="0" t="n">
        <f aca="false">$J$3*EXP(-$E$1*B1399*86.4/$G$1)</f>
        <v>19.3688169468097</v>
      </c>
      <c r="K1399" s="0" t="n">
        <f aca="false">J1398-J1399</f>
        <v>0.0547997069496304</v>
      </c>
    </row>
    <row r="1400" customFormat="false" ht="12.8" hidden="false" customHeight="false" outlineLevel="0" collapsed="false">
      <c r="A1400" s="0" t="n">
        <v>1</v>
      </c>
      <c r="B1400" s="0" t="n">
        <f aca="false">B1399+A1400</f>
        <v>1397</v>
      </c>
      <c r="C1400" s="0" t="n">
        <f aca="false">$C$3+($G$1/($E$1*86.4))*SINH($E$1*B1400*86.4/$G$1)</f>
        <v>53763.4707430998</v>
      </c>
      <c r="D1400" s="0" t="n">
        <f aca="false">C1400-$C$3-B1400</f>
        <v>7762.47074309982</v>
      </c>
      <c r="E1400" s="0" t="n">
        <f aca="false">$E$1*B1400*86.4</f>
        <v>1184074.848</v>
      </c>
      <c r="F1400" s="0" t="n">
        <f aca="false">$G$1*G1400</f>
        <v>299776.261122477</v>
      </c>
      <c r="G1400" s="0" t="n">
        <f aca="false">TANH($E$1*B1400*86.4/$G$1)</f>
        <v>0.99925420374159</v>
      </c>
      <c r="H1400" s="0" t="n">
        <f aca="false">COSH($E$1*B1400*86.4/$G$1)</f>
        <v>25.8973836729109</v>
      </c>
      <c r="I1400" s="0" t="n">
        <f aca="false">(($G$1^2*1000)/($E$1*$I$1))*(H1400-1)</f>
        <v>24.143451290764</v>
      </c>
      <c r="J1400" s="0" t="n">
        <f aca="false">$J$3*EXP(-$E$1*B1400*86.4/$G$1)</f>
        <v>19.3141718458706</v>
      </c>
      <c r="K1400" s="0" t="n">
        <f aca="false">J1399-J1400</f>
        <v>0.0546451009390552</v>
      </c>
    </row>
    <row r="1401" customFormat="false" ht="12.8" hidden="false" customHeight="false" outlineLevel="0" collapsed="false">
      <c r="A1401" s="0" t="n">
        <v>1</v>
      </c>
      <c r="B1401" s="0" t="n">
        <f aca="false">B1400+A1401</f>
        <v>1398</v>
      </c>
      <c r="C1401" s="0" t="n">
        <f aca="false">$C$3+($G$1/($E$1*86.4))*SINH($E$1*B1401*86.4/$G$1)</f>
        <v>53789.4047176462</v>
      </c>
      <c r="D1401" s="0" t="n">
        <f aca="false">C1401-$C$3-B1401</f>
        <v>7787.4047176462</v>
      </c>
      <c r="E1401" s="0" t="n">
        <f aca="false">$E$1*B1401*86.4</f>
        <v>1184922.432</v>
      </c>
      <c r="F1401" s="0" t="n">
        <f aca="false">$G$1*G1401</f>
        <v>299777.521339828</v>
      </c>
      <c r="G1401" s="0" t="n">
        <f aca="false">TANH($E$1*B1401*86.4/$G$1)</f>
        <v>0.999258404466092</v>
      </c>
      <c r="H1401" s="0" t="n">
        <f aca="false">COSH($E$1*B1401*86.4/$G$1)</f>
        <v>25.9705999215862</v>
      </c>
      <c r="I1401" s="0" t="n">
        <f aca="false">(($G$1^2*1000)/($E$1*$I$1))*(H1401-1)</f>
        <v>24.2144504349635</v>
      </c>
      <c r="J1401" s="0" t="n">
        <f aca="false">$J$3*EXP(-$E$1*B1401*86.4/$G$1)</f>
        <v>19.2596809147534</v>
      </c>
      <c r="K1401" s="0" t="n">
        <f aca="false">J1400-J1401</f>
        <v>0.0544909311172859</v>
      </c>
    </row>
    <row r="1402" customFormat="false" ht="12.8" hidden="false" customHeight="false" outlineLevel="0" collapsed="false">
      <c r="A1402" s="0" t="n">
        <v>1</v>
      </c>
      <c r="B1402" s="0" t="n">
        <f aca="false">B1401+A1402</f>
        <v>1399</v>
      </c>
      <c r="C1402" s="0" t="n">
        <f aca="false">$C$3+($G$1/($E$1*86.4))*SINH($E$1*B1402*86.4/$G$1)</f>
        <v>53815.4120120439</v>
      </c>
      <c r="D1402" s="0" t="n">
        <f aca="false">C1402-$C$3-B1402</f>
        <v>7812.41201204391</v>
      </c>
      <c r="E1402" s="0" t="n">
        <f aca="false">$E$1*B1402*86.4</f>
        <v>1185770.016</v>
      </c>
      <c r="F1402" s="0" t="n">
        <f aca="false">$G$1*G1402</f>
        <v>299778.774461577</v>
      </c>
      <c r="G1402" s="0" t="n">
        <f aca="false">TANH($E$1*B1402*86.4/$G$1)</f>
        <v>0.999262581538589</v>
      </c>
      <c r="H1402" s="0" t="n">
        <f aca="false">COSH($E$1*B1402*86.4/$G$1)</f>
        <v>26.0440234731059</v>
      </c>
      <c r="I1402" s="0" t="n">
        <f aca="false">(($G$1^2*1000)/($E$1*$I$1))*(H1402-1)</f>
        <v>24.2856506045476</v>
      </c>
      <c r="J1402" s="0" t="n">
        <f aca="false">$J$3*EXP(-$E$1*B1402*86.4/$G$1)</f>
        <v>19.2053437184997</v>
      </c>
      <c r="K1402" s="0" t="n">
        <f aca="false">J1401-J1402</f>
        <v>0.0543371962536803</v>
      </c>
    </row>
    <row r="1403" customFormat="false" ht="12.8" hidden="false" customHeight="false" outlineLevel="0" collapsed="false">
      <c r="A1403" s="0" t="n">
        <v>1</v>
      </c>
      <c r="B1403" s="0" t="n">
        <f aca="false">B1402+A1403</f>
        <v>1400</v>
      </c>
      <c r="C1403" s="0" t="n">
        <f aca="false">$C$3+($G$1/($E$1*86.4))*SINH($E$1*B1403*86.4/$G$1)</f>
        <v>53841.4928338887</v>
      </c>
      <c r="D1403" s="0" t="n">
        <f aca="false">C1403-$C$3-B1403</f>
        <v>7837.4928338887</v>
      </c>
      <c r="E1403" s="0" t="n">
        <f aca="false">$E$1*B1403*86.4</f>
        <v>1186617.6</v>
      </c>
      <c r="F1403" s="0" t="n">
        <f aca="false">$G$1*G1403</f>
        <v>299780.020527646</v>
      </c>
      <c r="G1403" s="0" t="n">
        <f aca="false">TANH($E$1*B1403*86.4/$G$1)</f>
        <v>0.999266735092153</v>
      </c>
      <c r="H1403" s="0" t="n">
        <f aca="false">COSH($E$1*B1403*86.4/$G$1)</f>
        <v>26.1176549135525</v>
      </c>
      <c r="I1403" s="0" t="n">
        <f aca="false">(($G$1^2*1000)/($E$1*$I$1))*(H1403-1)</f>
        <v>24.3570523678511</v>
      </c>
      <c r="J1403" s="0" t="n">
        <f aca="false">$J$3*EXP(-$E$1*B1403*86.4/$G$1)</f>
        <v>19.1511598233785</v>
      </c>
      <c r="K1403" s="0" t="n">
        <f aca="false">J1402-J1403</f>
        <v>0.0541838951211489</v>
      </c>
    </row>
    <row r="1404" customFormat="false" ht="12.8" hidden="false" customHeight="false" outlineLevel="0" collapsed="false">
      <c r="A1404" s="0" t="n">
        <v>1</v>
      </c>
      <c r="B1404" s="0" t="n">
        <f aca="false">B1403+A1404</f>
        <v>1401</v>
      </c>
      <c r="C1404" s="0" t="n">
        <f aca="false">$C$3+($G$1/($E$1*86.4))*SINH($E$1*B1404*86.4/$G$1)</f>
        <v>53867.6473913632</v>
      </c>
      <c r="D1404" s="0" t="n">
        <f aca="false">C1404-$C$3-B1404</f>
        <v>7862.64739136322</v>
      </c>
      <c r="E1404" s="0" t="n">
        <f aca="false">$E$1*B1404*86.4</f>
        <v>1187465.184</v>
      </c>
      <c r="F1404" s="0" t="n">
        <f aca="false">$G$1*G1404</f>
        <v>299781.259577733</v>
      </c>
      <c r="G1404" s="0" t="n">
        <f aca="false">TANH($E$1*B1404*86.4/$G$1)</f>
        <v>0.99927086525911</v>
      </c>
      <c r="H1404" s="0" t="n">
        <f aca="false">COSH($E$1*B1404*86.4/$G$1)</f>
        <v>26.1914948306676</v>
      </c>
      <c r="I1404" s="0" t="n">
        <f aca="false">(($G$1^2*1000)/($E$1*$I$1))*(H1404-1)</f>
        <v>24.428656294818</v>
      </c>
      <c r="J1404" s="0" t="n">
        <f aca="false">$J$3*EXP(-$E$1*B1404*86.4/$G$1)</f>
        <v>19.0971287968826</v>
      </c>
      <c r="K1404" s="0" t="n">
        <f aca="false">J1403-J1404</f>
        <v>0.0540310264959629</v>
      </c>
    </row>
    <row r="1405" customFormat="false" ht="12.8" hidden="false" customHeight="false" outlineLevel="0" collapsed="false">
      <c r="A1405" s="0" t="n">
        <v>1</v>
      </c>
      <c r="B1405" s="0" t="n">
        <f aca="false">B1404+A1405</f>
        <v>1402</v>
      </c>
      <c r="C1405" s="0" t="n">
        <f aca="false">$C$3+($G$1/($E$1*86.4))*SINH($E$1*B1405*86.4/$G$1)</f>
        <v>53893.8758932387</v>
      </c>
      <c r="D1405" s="0" t="n">
        <f aca="false">C1405-$C$3-B1405</f>
        <v>7887.87589323871</v>
      </c>
      <c r="E1405" s="0" t="n">
        <f aca="false">$E$1*B1405*86.4</f>
        <v>1188312.768</v>
      </c>
      <c r="F1405" s="0" t="n">
        <f aca="false">$G$1*G1405</f>
        <v>299782.491651313</v>
      </c>
      <c r="G1405" s="0" t="n">
        <f aca="false">TANH($E$1*B1405*86.4/$G$1)</f>
        <v>0.999274972171043</v>
      </c>
      <c r="H1405" s="0" t="n">
        <f aca="false">COSH($E$1*B1405*86.4/$G$1)</f>
        <v>26.2655438138572</v>
      </c>
      <c r="I1405" s="0" t="n">
        <f aca="false">(($G$1^2*1000)/($E$1*$I$1))*(H1405-1)</f>
        <v>24.5004629570062</v>
      </c>
      <c r="J1405" s="0" t="n">
        <f aca="false">$J$3*EXP(-$E$1*B1405*86.4/$G$1)</f>
        <v>19.0432502077247</v>
      </c>
      <c r="K1405" s="0" t="n">
        <f aca="false">J1404-J1405</f>
        <v>0.0538785891579074</v>
      </c>
    </row>
    <row r="1406" customFormat="false" ht="12.8" hidden="false" customHeight="false" outlineLevel="0" collapsed="false">
      <c r="A1406" s="0" t="n">
        <v>1</v>
      </c>
      <c r="B1406" s="0" t="n">
        <f aca="false">B1405+A1406</f>
        <v>1403</v>
      </c>
      <c r="C1406" s="0" t="n">
        <f aca="false">$C$3+($G$1/($E$1*86.4))*SINH($E$1*B1406*86.4/$G$1)</f>
        <v>53920.1785488766</v>
      </c>
      <c r="D1406" s="0" t="n">
        <f aca="false">C1406-$C$3-B1406</f>
        <v>7913.17854887664</v>
      </c>
      <c r="E1406" s="0" t="n">
        <f aca="false">$E$1*B1406*86.4</f>
        <v>1189160.352</v>
      </c>
      <c r="F1406" s="0" t="n">
        <f aca="false">$G$1*G1406</f>
        <v>299783.716787639</v>
      </c>
      <c r="G1406" s="0" t="n">
        <f aca="false">TANH($E$1*B1406*86.4/$G$1)</f>
        <v>0.999279055958796</v>
      </c>
      <c r="H1406" s="0" t="n">
        <f aca="false">COSH($E$1*B1406*86.4/$G$1)</f>
        <v>26.339802454196</v>
      </c>
      <c r="I1406" s="0" t="n">
        <f aca="false">(($G$1^2*1000)/($E$1*$I$1))*(H1406-1)</f>
        <v>24.5724729275915</v>
      </c>
      <c r="J1406" s="0" t="n">
        <f aca="false">$J$3*EXP(-$E$1*B1406*86.4/$G$1)</f>
        <v>18.9895236258345</v>
      </c>
      <c r="K1406" s="0" t="n">
        <f aca="false">J1405-J1406</f>
        <v>0.0537265818901851</v>
      </c>
    </row>
    <row r="1407" customFormat="false" ht="12.8" hidden="false" customHeight="false" outlineLevel="0" collapsed="false">
      <c r="A1407" s="0" t="n">
        <v>1</v>
      </c>
      <c r="B1407" s="0" t="n">
        <f aca="false">B1406+A1407</f>
        <v>1404</v>
      </c>
      <c r="C1407" s="0" t="n">
        <f aca="false">$C$3+($G$1/($E$1*86.4))*SINH($E$1*B1407*86.4/$G$1)</f>
        <v>53946.5555682304</v>
      </c>
      <c r="D1407" s="0" t="n">
        <f aca="false">C1407-$C$3-B1407</f>
        <v>7938.55556823039</v>
      </c>
      <c r="E1407" s="0" t="n">
        <f aca="false">$E$1*B1407*86.4</f>
        <v>1190007.936</v>
      </c>
      <c r="F1407" s="0" t="n">
        <f aca="false">$G$1*G1407</f>
        <v>299784.935025743</v>
      </c>
      <c r="G1407" s="0" t="n">
        <f aca="false">TANH($E$1*B1407*86.4/$G$1)</f>
        <v>0.999283116752477</v>
      </c>
      <c r="H1407" s="0" t="n">
        <f aca="false">COSH($E$1*B1407*86.4/$G$1)</f>
        <v>26.4142713444323</v>
      </c>
      <c r="I1407" s="0" t="n">
        <f aca="false">(($G$1^2*1000)/($E$1*$I$1))*(H1407-1)</f>
        <v>24.644686781373</v>
      </c>
      <c r="J1407" s="0" t="n">
        <f aca="false">$J$3*EXP(-$E$1*B1407*86.4/$G$1)</f>
        <v>18.935948622355</v>
      </c>
      <c r="K1407" s="0" t="n">
        <f aca="false">J1406-J1407</f>
        <v>0.0535750034794589</v>
      </c>
    </row>
    <row r="1408" customFormat="false" ht="12.8" hidden="false" customHeight="false" outlineLevel="0" collapsed="false">
      <c r="A1408" s="0" t="n">
        <v>1</v>
      </c>
      <c r="B1408" s="0" t="n">
        <f aca="false">B1407+A1408</f>
        <v>1405</v>
      </c>
      <c r="C1408" s="0" t="n">
        <f aca="false">$C$3+($G$1/($E$1*86.4))*SINH($E$1*B1408*86.4/$G$1)</f>
        <v>53973.0071618469</v>
      </c>
      <c r="D1408" s="0" t="n">
        <f aca="false">C1408-$C$3-B1408</f>
        <v>7964.00716184693</v>
      </c>
      <c r="E1408" s="0" t="n">
        <f aca="false">$E$1*B1408*86.4</f>
        <v>1190855.52</v>
      </c>
      <c r="F1408" s="0" t="n">
        <f aca="false">$G$1*G1408</f>
        <v>299786.146404439</v>
      </c>
      <c r="G1408" s="0" t="n">
        <f aca="false">TANH($E$1*B1408*86.4/$G$1)</f>
        <v>0.999287154681462</v>
      </c>
      <c r="H1408" s="0" t="n">
        <f aca="false">COSH($E$1*B1408*86.4/$G$1)</f>
        <v>26.4889510789925</v>
      </c>
      <c r="I1408" s="0" t="n">
        <f aca="false">(($G$1^2*1000)/($E$1*$I$1))*(H1408-1)</f>
        <v>24.7171050947769</v>
      </c>
      <c r="J1408" s="0" t="n">
        <f aca="false">$J$3*EXP(-$E$1*B1408*86.4/$G$1)</f>
        <v>18.8825247696392</v>
      </c>
      <c r="K1408" s="0" t="n">
        <f aca="false">J1407-J1408</f>
        <v>0.0534238527157882</v>
      </c>
    </row>
    <row r="1409" customFormat="false" ht="12.8" hidden="false" customHeight="false" outlineLevel="0" collapsed="false">
      <c r="A1409" s="0" t="n">
        <v>1</v>
      </c>
      <c r="B1409" s="0" t="n">
        <f aca="false">B1408+A1409</f>
        <v>1406</v>
      </c>
      <c r="C1409" s="0" t="n">
        <f aca="false">$C$3+($G$1/($E$1*86.4))*SINH($E$1*B1409*86.4/$G$1)</f>
        <v>53999.5335408685</v>
      </c>
      <c r="D1409" s="0" t="n">
        <f aca="false">C1409-$C$3-B1409</f>
        <v>7989.53354086849</v>
      </c>
      <c r="E1409" s="0" t="n">
        <f aca="false">$E$1*B1409*86.4</f>
        <v>1191703.104</v>
      </c>
      <c r="F1409" s="0" t="n">
        <f aca="false">$G$1*G1409</f>
        <v>299787.350962321</v>
      </c>
      <c r="G1409" s="0" t="n">
        <f aca="false">TANH($E$1*B1409*86.4/$G$1)</f>
        <v>0.999291169874403</v>
      </c>
      <c r="H1409" s="0" t="n">
        <f aca="false">COSH($E$1*B1409*86.4/$G$1)</f>
        <v>26.5638422539862</v>
      </c>
      <c r="I1409" s="0" t="n">
        <f aca="false">(($G$1^2*1000)/($E$1*$I$1))*(H1409-1)</f>
        <v>24.7897284458616</v>
      </c>
      <c r="J1409" s="0" t="n">
        <f aca="false">$J$3*EXP(-$E$1*B1409*86.4/$G$1)</f>
        <v>18.8292516412466</v>
      </c>
      <c r="K1409" s="0" t="n">
        <f aca="false">J1408-J1409</f>
        <v>0.053273128392636</v>
      </c>
    </row>
    <row r="1410" customFormat="false" ht="12.8" hidden="false" customHeight="false" outlineLevel="0" collapsed="false">
      <c r="A1410" s="0" t="n">
        <v>1</v>
      </c>
      <c r="B1410" s="0" t="n">
        <f aca="false">B1409+A1410</f>
        <v>1407</v>
      </c>
      <c r="C1410" s="0" t="n">
        <f aca="false">$C$3+($G$1/($E$1*86.4))*SINH($E$1*B1410*86.4/$G$1)</f>
        <v>54026.1349170343</v>
      </c>
      <c r="D1410" s="0" t="n">
        <f aca="false">C1410-$C$3-B1410</f>
        <v>8015.13491703429</v>
      </c>
      <c r="E1410" s="0" t="n">
        <f aca="false">$E$1*B1410*86.4</f>
        <v>1192550.688</v>
      </c>
      <c r="F1410" s="0" t="n">
        <f aca="false">$G$1*G1410</f>
        <v>299788.548737768</v>
      </c>
      <c r="G1410" s="0" t="n">
        <f aca="false">TANH($E$1*B1410*86.4/$G$1)</f>
        <v>0.999295162459225</v>
      </c>
      <c r="H1410" s="0" t="n">
        <f aca="false">COSH($E$1*B1410*86.4/$G$1)</f>
        <v>26.6389454672106</v>
      </c>
      <c r="I1410" s="0" t="n">
        <f aca="false">(($G$1^2*1000)/($E$1*$I$1))*(H1410-1)</f>
        <v>24.8625574143221</v>
      </c>
      <c r="J1410" s="0" t="n">
        <f aca="false">$J$3*EXP(-$E$1*B1410*86.4/$G$1)</f>
        <v>18.7761288119396</v>
      </c>
      <c r="K1410" s="0" t="n">
        <f aca="false">J1409-J1410</f>
        <v>0.0531228293069468</v>
      </c>
    </row>
    <row r="1411" customFormat="false" ht="12.8" hidden="false" customHeight="false" outlineLevel="0" collapsed="false">
      <c r="A1411" s="0" t="n">
        <v>1</v>
      </c>
      <c r="B1411" s="0" t="n">
        <f aca="false">B1410+A1411</f>
        <v>1408</v>
      </c>
      <c r="C1411" s="0" t="n">
        <f aca="false">$C$3+($G$1/($E$1*86.4))*SINH($E$1*B1411*86.4/$G$1)</f>
        <v>54052.8115026821</v>
      </c>
      <c r="D1411" s="0" t="n">
        <f aca="false">C1411-$C$3-B1411</f>
        <v>8040.81150268214</v>
      </c>
      <c r="E1411" s="0" t="n">
        <f aca="false">$E$1*B1411*86.4</f>
        <v>1193398.272</v>
      </c>
      <c r="F1411" s="0" t="n">
        <f aca="false">$G$1*G1411</f>
        <v>299789.739768942</v>
      </c>
      <c r="G1411" s="0" t="n">
        <f aca="false">TANH($E$1*B1411*86.4/$G$1)</f>
        <v>0.999299132563139</v>
      </c>
      <c r="H1411" s="0" t="n">
        <f aca="false">COSH($E$1*B1411*86.4/$G$1)</f>
        <v>26.7142613181555</v>
      </c>
      <c r="I1411" s="0" t="n">
        <f aca="false">(($G$1^2*1000)/($E$1*$I$1))*(H1411-1)</f>
        <v>24.9355925814946</v>
      </c>
      <c r="J1411" s="0" t="n">
        <f aca="false">$J$3*EXP(-$E$1*B1411*86.4/$G$1)</f>
        <v>18.7231558576807</v>
      </c>
      <c r="K1411" s="0" t="n">
        <f aca="false">J1410-J1411</f>
        <v>0.0529729542589408</v>
      </c>
    </row>
    <row r="1412" customFormat="false" ht="12.8" hidden="false" customHeight="false" outlineLevel="0" collapsed="false">
      <c r="A1412" s="0" t="n">
        <v>1</v>
      </c>
      <c r="B1412" s="0" t="n">
        <f aca="false">B1411+A1412</f>
        <v>1409</v>
      </c>
      <c r="C1412" s="0" t="n">
        <f aca="false">$C$3+($G$1/($E$1*86.4))*SINH($E$1*B1412*86.4/$G$1)</f>
        <v>54079.5635107502</v>
      </c>
      <c r="D1412" s="0" t="n">
        <f aca="false">C1412-$C$3-B1412</f>
        <v>8066.56351075022</v>
      </c>
      <c r="E1412" s="0" t="n">
        <f aca="false">$E$1*B1412*86.4</f>
        <v>1194245.856</v>
      </c>
      <c r="F1412" s="0" t="n">
        <f aca="false">$G$1*G1412</f>
        <v>299790.924093792</v>
      </c>
      <c r="G1412" s="0" t="n">
        <f aca="false">TANH($E$1*B1412*86.4/$G$1)</f>
        <v>0.999303080312639</v>
      </c>
      <c r="H1412" s="0" t="n">
        <f aca="false">COSH($E$1*B1412*86.4/$G$1)</f>
        <v>26.789790408008</v>
      </c>
      <c r="I1412" s="0" t="n">
        <f aca="false">(($G$1^2*1000)/($E$1*$I$1))*(H1412-1)</f>
        <v>25.0088345303615</v>
      </c>
      <c r="J1412" s="0" t="n">
        <f aca="false">$J$3*EXP(-$E$1*B1412*86.4/$G$1)</f>
        <v>18.6703323556284</v>
      </c>
      <c r="K1412" s="0" t="n">
        <f aca="false">J1411-J1412</f>
        <v>0.052823502052302</v>
      </c>
    </row>
    <row r="1413" customFormat="false" ht="12.8" hidden="false" customHeight="false" outlineLevel="0" collapsed="false">
      <c r="A1413" s="0" t="n">
        <v>1</v>
      </c>
      <c r="B1413" s="0" t="n">
        <f aca="false">B1412+A1413</f>
        <v>1410</v>
      </c>
      <c r="C1413" s="0" t="n">
        <f aca="false">$C$3+($G$1/($E$1*86.4))*SINH($E$1*B1413*86.4/$G$1)</f>
        <v>54106.3911547787</v>
      </c>
      <c r="D1413" s="0" t="n">
        <f aca="false">C1413-$C$3-B1413</f>
        <v>8092.39115477873</v>
      </c>
      <c r="E1413" s="0" t="n">
        <f aca="false">$E$1*B1413*86.4</f>
        <v>1195093.44</v>
      </c>
      <c r="F1413" s="0" t="n">
        <f aca="false">$G$1*G1413</f>
        <v>299792.101750052</v>
      </c>
      <c r="G1413" s="0" t="n">
        <f aca="false">TANH($E$1*B1413*86.4/$G$1)</f>
        <v>0.999307005833506</v>
      </c>
      <c r="H1413" s="0" t="n">
        <f aca="false">COSH($E$1*B1413*86.4/$G$1)</f>
        <v>26.8655333396574</v>
      </c>
      <c r="I1413" s="0" t="n">
        <f aca="false">(($G$1^2*1000)/($E$1*$I$1))*(H1413-1)</f>
        <v>25.0822838455555</v>
      </c>
      <c r="J1413" s="0" t="n">
        <f aca="false">$J$3*EXP(-$E$1*B1413*86.4/$G$1)</f>
        <v>18.6176578841343</v>
      </c>
      <c r="K1413" s="0" t="n">
        <f aca="false">J1412-J1413</f>
        <v>0.0526744714940968</v>
      </c>
    </row>
    <row r="1414" customFormat="false" ht="12.8" hidden="false" customHeight="false" outlineLevel="0" collapsed="false">
      <c r="A1414" s="0" t="n">
        <v>1</v>
      </c>
      <c r="B1414" s="0" t="n">
        <f aca="false">B1413+A1414</f>
        <v>1411</v>
      </c>
      <c r="C1414" s="0" t="n">
        <f aca="false">$C$3+($G$1/($E$1*86.4))*SINH($E$1*B1414*86.4/$G$1)</f>
        <v>54133.2946489116</v>
      </c>
      <c r="D1414" s="0" t="n">
        <f aca="false">C1414-$C$3-B1414</f>
        <v>8118.29464891164</v>
      </c>
      <c r="E1414" s="0" t="n">
        <f aca="false">$E$1*B1414*86.4</f>
        <v>1195941.024</v>
      </c>
      <c r="F1414" s="0" t="n">
        <f aca="false">$G$1*G1414</f>
        <v>299793.272775245</v>
      </c>
      <c r="G1414" s="0" t="n">
        <f aca="false">TANH($E$1*B1414*86.4/$G$1)</f>
        <v>0.999310909250818</v>
      </c>
      <c r="H1414" s="0" t="n">
        <f aca="false">COSH($E$1*B1414*86.4/$G$1)</f>
        <v>26.9414907176998</v>
      </c>
      <c r="I1414" s="0" t="n">
        <f aca="false">(($G$1^2*1000)/($E$1*$I$1))*(H1414-1)</f>
        <v>25.1559411133646</v>
      </c>
      <c r="J1414" s="0" t="n">
        <f aca="false">$J$3*EXP(-$E$1*B1414*86.4/$G$1)</f>
        <v>18.5651320227396</v>
      </c>
      <c r="K1414" s="0" t="n">
        <f aca="false">J1413-J1414</f>
        <v>0.0525258613946846</v>
      </c>
    </row>
    <row r="1415" customFormat="false" ht="12.8" hidden="false" customHeight="false" outlineLevel="0" collapsed="false">
      <c r="A1415" s="0" t="n">
        <v>1</v>
      </c>
      <c r="B1415" s="0" t="n">
        <f aca="false">B1414+A1415</f>
        <v>1412</v>
      </c>
      <c r="C1415" s="0" t="n">
        <f aca="false">$C$3+($G$1/($E$1*86.4))*SINH($E$1*B1415*86.4/$G$1)</f>
        <v>54160.2742078984</v>
      </c>
      <c r="D1415" s="0" t="n">
        <f aca="false">C1415-$C$3-B1415</f>
        <v>8144.27420789835</v>
      </c>
      <c r="E1415" s="0" t="n">
        <f aca="false">$E$1*B1415*86.4</f>
        <v>1196788.608</v>
      </c>
      <c r="F1415" s="0" t="n">
        <f aca="false">$G$1*G1415</f>
        <v>299794.437206685</v>
      </c>
      <c r="G1415" s="0" t="n">
        <f aca="false">TANH($E$1*B1415*86.4/$G$1)</f>
        <v>0.999314790688948</v>
      </c>
      <c r="H1415" s="0" t="n">
        <f aca="false">COSH($E$1*B1415*86.4/$G$1)</f>
        <v>27.0176631484432</v>
      </c>
      <c r="I1415" s="0" t="n">
        <f aca="false">(($G$1^2*1000)/($E$1*$I$1))*(H1415-1)</f>
        <v>25.2298069217368</v>
      </c>
      <c r="J1415" s="0" t="n">
        <f aca="false">$J$3*EXP(-$E$1*B1415*86.4/$G$1)</f>
        <v>18.5127543521717</v>
      </c>
      <c r="K1415" s="0" t="n">
        <f aca="false">J1414-J1415</f>
        <v>0.0523776705678856</v>
      </c>
    </row>
    <row r="1416" customFormat="false" ht="12.8" hidden="false" customHeight="false" outlineLevel="0" collapsed="false">
      <c r="A1416" s="0" t="n">
        <v>1</v>
      </c>
      <c r="B1416" s="0" t="n">
        <f aca="false">B1415+A1416</f>
        <v>1413</v>
      </c>
      <c r="C1416" s="0" t="n">
        <f aca="false">$C$3+($G$1/($E$1*86.4))*SINH($E$1*B1416*86.4/$G$1)</f>
        <v>54187.3300470954</v>
      </c>
      <c r="D1416" s="0" t="n">
        <f aca="false">C1416-$C$3-B1416</f>
        <v>8170.33004709541</v>
      </c>
      <c r="E1416" s="0" t="n">
        <f aca="false">$E$1*B1416*86.4</f>
        <v>1197636.192</v>
      </c>
      <c r="F1416" s="0" t="n">
        <f aca="false">$G$1*G1416</f>
        <v>299795.595081471</v>
      </c>
      <c r="G1416" s="0" t="n">
        <f aca="false">TANH($E$1*B1416*86.4/$G$1)</f>
        <v>0.999318650271572</v>
      </c>
      <c r="H1416" s="0" t="n">
        <f aca="false">COSH($E$1*B1416*86.4/$G$1)</f>
        <v>27.0940512399121</v>
      </c>
      <c r="I1416" s="0" t="n">
        <f aca="false">(($G$1^2*1000)/($E$1*$I$1))*(H1416-1)</f>
        <v>25.3038818602846</v>
      </c>
      <c r="J1416" s="0" t="n">
        <f aca="false">$J$3*EXP(-$E$1*B1416*86.4/$G$1)</f>
        <v>18.460524454341</v>
      </c>
      <c r="K1416" s="0" t="n">
        <f aca="false">J1415-J1416</f>
        <v>0.0522298978307347</v>
      </c>
    </row>
    <row r="1417" customFormat="false" ht="12.8" hidden="false" customHeight="false" outlineLevel="0" collapsed="false">
      <c r="A1417" s="0" t="n">
        <v>1</v>
      </c>
      <c r="B1417" s="0" t="n">
        <f aca="false">B1416+A1417</f>
        <v>1414</v>
      </c>
      <c r="C1417" s="0" t="n">
        <f aca="false">$C$3+($G$1/($E$1*86.4))*SINH($E$1*B1417*86.4/$G$1)</f>
        <v>54214.4623824683</v>
      </c>
      <c r="D1417" s="0" t="n">
        <f aca="false">C1417-$C$3-B1417</f>
        <v>8196.46238246831</v>
      </c>
      <c r="E1417" s="0" t="n">
        <f aca="false">$E$1*B1417*86.4</f>
        <v>1198483.776</v>
      </c>
      <c r="F1417" s="0" t="n">
        <f aca="false">$G$1*G1417</f>
        <v>299796.7464365</v>
      </c>
      <c r="G1417" s="0" t="n">
        <f aca="false">TANH($E$1*B1417*86.4/$G$1)</f>
        <v>0.999322488121668</v>
      </c>
      <c r="H1417" s="0" t="n">
        <f aca="false">COSH($E$1*B1417*86.4/$G$1)</f>
        <v>27.1706556018524</v>
      </c>
      <c r="I1417" s="0" t="n">
        <f aca="false">(($G$1^2*1000)/($E$1*$I$1))*(H1417-1)</f>
        <v>25.37816652029</v>
      </c>
      <c r="J1417" s="0" t="n">
        <f aca="false">$J$3*EXP(-$E$1*B1417*86.4/$G$1)</f>
        <v>18.4084419123372</v>
      </c>
      <c r="K1417" s="0" t="n">
        <f aca="false">J1416-J1417</f>
        <v>0.0520825420037632</v>
      </c>
    </row>
    <row r="1418" customFormat="false" ht="12.8" hidden="false" customHeight="false" outlineLevel="0" collapsed="false">
      <c r="A1418" s="0" t="n">
        <v>1</v>
      </c>
      <c r="B1418" s="0" t="n">
        <f aca="false">B1417+A1418</f>
        <v>1415</v>
      </c>
      <c r="C1418" s="0" t="n">
        <f aca="false">$C$3+($G$1/($E$1*86.4))*SINH($E$1*B1418*86.4/$G$1)</f>
        <v>54241.6714305931</v>
      </c>
      <c r="D1418" s="0" t="n">
        <f aca="false">C1418-$C$3-B1418</f>
        <v>8222.67143059308</v>
      </c>
      <c r="E1418" s="0" t="n">
        <f aca="false">$E$1*B1418*86.4</f>
        <v>1199331.36</v>
      </c>
      <c r="F1418" s="0" t="n">
        <f aca="false">$G$1*G1418</f>
        <v>299797.891308457</v>
      </c>
      <c r="G1418" s="0" t="n">
        <f aca="false">TANH($E$1*B1418*86.4/$G$1)</f>
        <v>0.999326304361525</v>
      </c>
      <c r="H1418" s="0" t="n">
        <f aca="false">COSH($E$1*B1418*86.4/$G$1)</f>
        <v>27.2474768457365</v>
      </c>
      <c r="I1418" s="0" t="n">
        <f aca="false">(($G$1^2*1000)/($E$1*$I$1))*(H1418-1)</f>
        <v>25.4526614947089</v>
      </c>
      <c r="J1418" s="0" t="n">
        <f aca="false">$J$3*EXP(-$E$1*B1418*86.4/$G$1)</f>
        <v>18.3565063104265</v>
      </c>
      <c r="K1418" s="0" t="n">
        <f aca="false">J1417-J1418</f>
        <v>0.0519356019106851</v>
      </c>
    </row>
    <row r="1419" customFormat="false" ht="12.8" hidden="false" customHeight="false" outlineLevel="0" collapsed="false">
      <c r="A1419" s="0" t="n">
        <v>1</v>
      </c>
      <c r="B1419" s="0" t="n">
        <f aca="false">B1418+A1419</f>
        <v>1416</v>
      </c>
      <c r="C1419" s="0" t="n">
        <f aca="false">$C$3+($G$1/($E$1*86.4))*SINH($E$1*B1419*86.4/$G$1)</f>
        <v>54268.9574086581</v>
      </c>
      <c r="D1419" s="0" t="n">
        <f aca="false">C1419-$C$3-B1419</f>
        <v>8248.95740865814</v>
      </c>
      <c r="E1419" s="0" t="n">
        <f aca="false">$E$1*B1419*86.4</f>
        <v>1200178.944</v>
      </c>
      <c r="F1419" s="0" t="n">
        <f aca="false">$G$1*G1419</f>
        <v>299799.029733824</v>
      </c>
      <c r="G1419" s="0" t="n">
        <f aca="false">TANH($E$1*B1419*86.4/$G$1)</f>
        <v>0.999330099112745</v>
      </c>
      <c r="H1419" s="0" t="n">
        <f aca="false">COSH($E$1*B1419*86.4/$G$1)</f>
        <v>27.3245155847677</v>
      </c>
      <c r="I1419" s="0" t="n">
        <f aca="false">(($G$1^2*1000)/($E$1*$I$1))*(H1419-1)</f>
        <v>25.527367378176</v>
      </c>
      <c r="J1419" s="0" t="n">
        <f aca="false">$J$3*EXP(-$E$1*B1419*86.4/$G$1)</f>
        <v>18.3047172340479</v>
      </c>
      <c r="K1419" s="0" t="n">
        <f aca="false">J1418-J1419</f>
        <v>0.0517890763786149</v>
      </c>
    </row>
    <row r="1420" customFormat="false" ht="12.8" hidden="false" customHeight="false" outlineLevel="0" collapsed="false">
      <c r="A1420" s="0" t="n">
        <v>1</v>
      </c>
      <c r="B1420" s="0" t="n">
        <f aca="false">B1419+A1420</f>
        <v>1417</v>
      </c>
      <c r="C1420" s="0" t="n">
        <f aca="false">$C$3+($G$1/($E$1*86.4))*SINH($E$1*B1420*86.4/$G$1)</f>
        <v>54296.320534466</v>
      </c>
      <c r="D1420" s="0" t="n">
        <f aca="false">C1420-$C$3-B1420</f>
        <v>8275.32053446596</v>
      </c>
      <c r="E1420" s="0" t="n">
        <f aca="false">$E$1*B1420*86.4</f>
        <v>1201026.528</v>
      </c>
      <c r="F1420" s="0" t="n">
        <f aca="false">$G$1*G1420</f>
        <v>299800.161748874</v>
      </c>
      <c r="G1420" s="0" t="n">
        <f aca="false">TANH($E$1*B1420*86.4/$G$1)</f>
        <v>0.999333872496246</v>
      </c>
      <c r="H1420" s="0" t="n">
        <f aca="false">COSH($E$1*B1420*86.4/$G$1)</f>
        <v>27.4017724338858</v>
      </c>
      <c r="I1420" s="0" t="n">
        <f aca="false">(($G$1^2*1000)/($E$1*$I$1))*(H1420-1)</f>
        <v>25.6022847670094</v>
      </c>
      <c r="J1420" s="0" t="n">
        <f aca="false">$J$3*EXP(-$E$1*B1420*86.4/$G$1)</f>
        <v>18.25307426981</v>
      </c>
      <c r="K1420" s="0" t="n">
        <f aca="false">J1419-J1420</f>
        <v>0.051642964237935</v>
      </c>
    </row>
    <row r="1421" customFormat="false" ht="12.8" hidden="false" customHeight="false" outlineLevel="0" collapsed="false">
      <c r="A1421" s="0" t="n">
        <v>1</v>
      </c>
      <c r="B1421" s="0" t="n">
        <f aca="false">B1420+A1421</f>
        <v>1418</v>
      </c>
      <c r="C1421" s="0" t="n">
        <f aca="false">$C$3+($G$1/($E$1*86.4))*SINH($E$1*B1421*86.4/$G$1)</f>
        <v>54323.7610264348</v>
      </c>
      <c r="D1421" s="0" t="n">
        <f aca="false">C1421-$C$3-B1421</f>
        <v>8301.76102643482</v>
      </c>
      <c r="E1421" s="0" t="n">
        <f aca="false">$E$1*B1421*86.4</f>
        <v>1201874.112</v>
      </c>
      <c r="F1421" s="0" t="n">
        <f aca="false">$G$1*G1421</f>
        <v>299801.28738968</v>
      </c>
      <c r="G1421" s="0" t="n">
        <f aca="false">TANH($E$1*B1421*86.4/$G$1)</f>
        <v>0.999337624632267</v>
      </c>
      <c r="H1421" s="0" t="n">
        <f aca="false">COSH($E$1*B1421*86.4/$G$1)</f>
        <v>27.4792480097712</v>
      </c>
      <c r="I1421" s="0" t="n">
        <f aca="false">(($G$1^2*1000)/($E$1*$I$1))*(H1421-1)</f>
        <v>25.6774142592159</v>
      </c>
      <c r="J1421" s="0" t="n">
        <f aca="false">$J$3*EXP(-$E$1*B1421*86.4/$G$1)</f>
        <v>18.2015770054876</v>
      </c>
      <c r="K1421" s="0" t="n">
        <f aca="false">J1420-J1421</f>
        <v>0.0514972643223857</v>
      </c>
    </row>
    <row r="1422" customFormat="false" ht="12.8" hidden="false" customHeight="false" outlineLevel="0" collapsed="false">
      <c r="A1422" s="0" t="n">
        <v>1</v>
      </c>
      <c r="B1422" s="0" t="n">
        <f aca="false">B1421+A1422</f>
        <v>1419</v>
      </c>
      <c r="C1422" s="0" t="n">
        <f aca="false">$C$3+($G$1/($E$1*86.4))*SINH($E$1*B1422*86.4/$G$1)</f>
        <v>54351.2791036006</v>
      </c>
      <c r="D1422" s="0" t="n">
        <f aca="false">C1422-$C$3-B1422</f>
        <v>8328.27910360055</v>
      </c>
      <c r="E1422" s="0" t="n">
        <f aca="false">$E$1*B1422*86.4</f>
        <v>1202721.696</v>
      </c>
      <c r="F1422" s="0" t="n">
        <f aca="false">$G$1*G1422</f>
        <v>299802.406692111</v>
      </c>
      <c r="G1422" s="0" t="n">
        <f aca="false">TANH($E$1*B1422*86.4/$G$1)</f>
        <v>0.999341355640371</v>
      </c>
      <c r="H1422" s="0" t="n">
        <f aca="false">COSH($E$1*B1422*86.4/$G$1)</f>
        <v>27.5569429308506</v>
      </c>
      <c r="I1422" s="0" t="n">
        <f aca="false">(($G$1^2*1000)/($E$1*$I$1))*(H1422-1)</f>
        <v>25.7527564544948</v>
      </c>
      <c r="J1422" s="0" t="n">
        <f aca="false">$J$3*EXP(-$E$1*B1422*86.4/$G$1)</f>
        <v>18.1502250300187</v>
      </c>
      <c r="K1422" s="0" t="n">
        <f aca="false">J1421-J1422</f>
        <v>0.0513519754689433</v>
      </c>
    </row>
    <row r="1423" customFormat="false" ht="12.8" hidden="false" customHeight="false" outlineLevel="0" collapsed="false">
      <c r="A1423" s="0" t="n">
        <v>1</v>
      </c>
      <c r="B1423" s="0" t="n">
        <f aca="false">B1422+A1423</f>
        <v>1420</v>
      </c>
      <c r="C1423" s="0" t="n">
        <f aca="false">$C$3+($G$1/($E$1*86.4))*SINH($E$1*B1423*86.4/$G$1)</f>
        <v>54378.8749856183</v>
      </c>
      <c r="D1423" s="0" t="n">
        <f aca="false">C1423-$C$3-B1423</f>
        <v>8354.87498561828</v>
      </c>
      <c r="E1423" s="0" t="n">
        <f aca="false">$E$1*B1423*86.4</f>
        <v>1203569.28</v>
      </c>
      <c r="F1423" s="0" t="n">
        <f aca="false">$G$1*G1423</f>
        <v>299803.519691835</v>
      </c>
      <c r="G1423" s="0" t="n">
        <f aca="false">TANH($E$1*B1423*86.4/$G$1)</f>
        <v>0.999345065639449</v>
      </c>
      <c r="H1423" s="0" t="n">
        <f aca="false">COSH($E$1*B1423*86.4/$G$1)</f>
        <v>27.6348578173011</v>
      </c>
      <c r="I1423" s="0" t="n">
        <f aca="false">(($G$1^2*1000)/($E$1*$I$1))*(H1423-1)</f>
        <v>25.8283119542436</v>
      </c>
      <c r="J1423" s="0" t="n">
        <f aca="false">$J$3*EXP(-$E$1*B1423*86.4/$G$1)</f>
        <v>18.0990179335008</v>
      </c>
      <c r="K1423" s="0" t="n">
        <f aca="false">J1422-J1423</f>
        <v>0.0512070965178495</v>
      </c>
    </row>
    <row r="1424" customFormat="false" ht="12.8" hidden="false" customHeight="false" outlineLevel="0" collapsed="false">
      <c r="A1424" s="0" t="n">
        <v>1</v>
      </c>
      <c r="B1424" s="0" t="n">
        <f aca="false">B1423+A1424</f>
        <v>1421</v>
      </c>
      <c r="C1424" s="0" t="n">
        <f aca="false">$C$3+($G$1/($E$1*86.4))*SINH($E$1*B1424*86.4/$G$1)</f>
        <v>54406.5488927642</v>
      </c>
      <c r="D1424" s="0" t="n">
        <f aca="false">C1424-$C$3-B1424</f>
        <v>8381.54889276423</v>
      </c>
      <c r="E1424" s="0" t="n">
        <f aca="false">$E$1*B1424*86.4</f>
        <v>1204416.864</v>
      </c>
      <c r="F1424" s="0" t="n">
        <f aca="false">$G$1*G1424</f>
        <v>299804.626424317</v>
      </c>
      <c r="G1424" s="0" t="n">
        <f aca="false">TANH($E$1*B1424*86.4/$G$1)</f>
        <v>0.999348754747723</v>
      </c>
      <c r="H1424" s="0" t="n">
        <f aca="false">COSH($E$1*B1424*86.4/$G$1)</f>
        <v>27.7129932910561</v>
      </c>
      <c r="I1424" s="0" t="n">
        <f aca="false">(($G$1^2*1000)/($E$1*$I$1))*(H1424-1)</f>
        <v>25.9040813615623</v>
      </c>
      <c r="J1424" s="0" t="n">
        <f aca="false">$J$3*EXP(-$E$1*B1424*86.4/$G$1)</f>
        <v>18.0479553071881</v>
      </c>
      <c r="K1424" s="0" t="n">
        <f aca="false">J1423-J1424</f>
        <v>0.0510626263126888</v>
      </c>
    </row>
    <row r="1425" customFormat="false" ht="12.8" hidden="false" customHeight="false" outlineLevel="0" collapsed="false">
      <c r="A1425" s="0" t="n">
        <v>1</v>
      </c>
      <c r="B1425" s="0" t="n">
        <f aca="false">B1424+A1425</f>
        <v>1422</v>
      </c>
      <c r="C1425" s="0" t="n">
        <f aca="false">$C$3+($G$1/($E$1*86.4))*SINH($E$1*B1425*86.4/$G$1)</f>
        <v>54434.3010459374</v>
      </c>
      <c r="D1425" s="0" t="n">
        <f aca="false">C1425-$C$3-B1425</f>
        <v>8408.30104593739</v>
      </c>
      <c r="E1425" s="0" t="n">
        <f aca="false">$E$1*B1425*86.4</f>
        <v>1205264.448</v>
      </c>
      <c r="F1425" s="0" t="n">
        <f aca="false">$G$1*G1425</f>
        <v>299805.726924826</v>
      </c>
      <c r="G1425" s="0" t="n">
        <f aca="false">TANH($E$1*B1425*86.4/$G$1)</f>
        <v>0.999352423082752</v>
      </c>
      <c r="H1425" s="0" t="n">
        <f aca="false">COSH($E$1*B1425*86.4/$G$1)</f>
        <v>27.7913499758095</v>
      </c>
      <c r="I1425" s="0" t="n">
        <f aca="false">(($G$1^2*1000)/($E$1*$I$1))*(H1425-1)</f>
        <v>25.9800652812586</v>
      </c>
      <c r="J1425" s="0" t="n">
        <f aca="false">$J$3*EXP(-$E$1*B1425*86.4/$G$1)</f>
        <v>17.9970367434878</v>
      </c>
      <c r="K1425" s="0" t="n">
        <f aca="false">J1424-J1425</f>
        <v>0.0509185637002858</v>
      </c>
    </row>
    <row r="1426" customFormat="false" ht="12.8" hidden="false" customHeight="false" outlineLevel="0" collapsed="false">
      <c r="A1426" s="0" t="n">
        <v>1</v>
      </c>
      <c r="B1426" s="0" t="n">
        <f aca="false">B1425+A1426</f>
        <v>1423</v>
      </c>
      <c r="C1426" s="0" t="n">
        <f aca="false">$C$3+($G$1/($E$1*86.4))*SINH($E$1*B1426*86.4/$G$1)</f>
        <v>54462.1316666613</v>
      </c>
      <c r="D1426" s="0" t="n">
        <f aca="false">C1426-$C$3-B1426</f>
        <v>8435.13166666132</v>
      </c>
      <c r="E1426" s="0" t="n">
        <f aca="false">$E$1*B1426*86.4</f>
        <v>1206112.032</v>
      </c>
      <c r="F1426" s="0" t="n">
        <f aca="false">$G$1*G1426</f>
        <v>299806.82122843</v>
      </c>
      <c r="G1426" s="0" t="n">
        <f aca="false">TANH($E$1*B1426*86.4/$G$1)</f>
        <v>0.999356070761435</v>
      </c>
      <c r="H1426" s="0" t="n">
        <f aca="false">COSH($E$1*B1426*86.4/$G$1)</f>
        <v>27.8699284970208</v>
      </c>
      <c r="I1426" s="0" t="n">
        <f aca="false">(($G$1^2*1000)/($E$1*$I$1))*(H1426-1)</f>
        <v>26.056264319852</v>
      </c>
      <c r="J1426" s="0" t="n">
        <f aca="false">$J$3*EXP(-$E$1*B1426*86.4/$G$1)</f>
        <v>17.9462618359572</v>
      </c>
      <c r="K1426" s="0" t="n">
        <f aca="false">J1425-J1426</f>
        <v>0.0507749075306023</v>
      </c>
    </row>
    <row r="1427" customFormat="false" ht="12.8" hidden="false" customHeight="false" outlineLevel="0" collapsed="false">
      <c r="A1427" s="0" t="n">
        <v>1</v>
      </c>
      <c r="B1427" s="0" t="n">
        <f aca="false">B1426+A1427</f>
        <v>1424</v>
      </c>
      <c r="C1427" s="0" t="n">
        <f aca="false">$C$3+($G$1/($E$1*86.4))*SINH($E$1*B1427*86.4/$G$1)</f>
        <v>54490.040977086</v>
      </c>
      <c r="D1427" s="0" t="n">
        <f aca="false">C1427-$C$3-B1427</f>
        <v>8462.04097708597</v>
      </c>
      <c r="E1427" s="0" t="n">
        <f aca="false">$E$1*B1427*86.4</f>
        <v>1206959.616</v>
      </c>
      <c r="F1427" s="0" t="n">
        <f aca="false">$G$1*G1427</f>
        <v>299807.909370003</v>
      </c>
      <c r="G1427" s="0" t="n">
        <f aca="false">TANH($E$1*B1427*86.4/$G$1)</f>
        <v>0.999359697900011</v>
      </c>
      <c r="H1427" s="0" t="n">
        <f aca="false">COSH($E$1*B1427*86.4/$G$1)</f>
        <v>27.9487294819208</v>
      </c>
      <c r="I1427" s="0" t="n">
        <f aca="false">(($G$1^2*1000)/($E$1*$I$1))*(H1427-1)</f>
        <v>26.1326790855796</v>
      </c>
      <c r="J1427" s="0" t="n">
        <f aca="false">$J$3*EXP(-$E$1*B1427*86.4/$G$1)</f>
        <v>17.8956301793002</v>
      </c>
      <c r="K1427" s="0" t="n">
        <f aca="false">J1426-J1427</f>
        <v>0.0506316566570817</v>
      </c>
    </row>
    <row r="1428" customFormat="false" ht="12.8" hidden="false" customHeight="false" outlineLevel="0" collapsed="false">
      <c r="A1428" s="0" t="n">
        <v>1</v>
      </c>
      <c r="B1428" s="0" t="n">
        <f aca="false">B1427+A1428</f>
        <v>1425</v>
      </c>
      <c r="C1428" s="0" t="n">
        <f aca="false">$C$3+($G$1/($E$1*86.4))*SINH($E$1*B1428*86.4/$G$1)</f>
        <v>54518.0291999894</v>
      </c>
      <c r="D1428" s="0" t="n">
        <f aca="false">C1428-$C$3-B1428</f>
        <v>8489.02919998937</v>
      </c>
      <c r="E1428" s="0" t="n">
        <f aca="false">$E$1*B1428*86.4</f>
        <v>1207807.2</v>
      </c>
      <c r="F1428" s="0" t="n">
        <f aca="false">$G$1*G1428</f>
        <v>299808.991384221</v>
      </c>
      <c r="G1428" s="0" t="n">
        <f aca="false">TANH($E$1*B1428*86.4/$G$1)</f>
        <v>0.999363304614069</v>
      </c>
      <c r="H1428" s="0" t="n">
        <f aca="false">COSH($E$1*B1428*86.4/$G$1)</f>
        <v>28.0277535595153</v>
      </c>
      <c r="I1428" s="0" t="n">
        <f aca="false">(($G$1^2*1000)/($E$1*$I$1))*(H1428-1)</f>
        <v>26.2093101884001</v>
      </c>
      <c r="J1428" s="0" t="n">
        <f aca="false">$J$3*EXP(-$E$1*B1428*86.4/$G$1)</f>
        <v>17.845141369364</v>
      </c>
      <c r="K1428" s="0" t="n">
        <f aca="false">J1427-J1428</f>
        <v>0.0504888099361587</v>
      </c>
    </row>
    <row r="1429" customFormat="false" ht="12.8" hidden="false" customHeight="false" outlineLevel="0" collapsed="false">
      <c r="A1429" s="0" t="n">
        <v>1</v>
      </c>
      <c r="B1429" s="0" t="n">
        <f aca="false">B1428+A1429</f>
        <v>1426</v>
      </c>
      <c r="C1429" s="0" t="n">
        <f aca="false">$C$3+($G$1/($E$1*86.4))*SINH($E$1*B1429*86.4/$G$1)</f>
        <v>54546.0965587795</v>
      </c>
      <c r="D1429" s="0" t="n">
        <f aca="false">C1429-$C$3-B1429</f>
        <v>8516.09655877948</v>
      </c>
      <c r="E1429" s="0" t="n">
        <f aca="false">$E$1*B1429*86.4</f>
        <v>1208654.784</v>
      </c>
      <c r="F1429" s="0" t="n">
        <f aca="false">$G$1*G1429</f>
        <v>299810.067305564</v>
      </c>
      <c r="G1429" s="0" t="n">
        <f aca="false">TANH($E$1*B1429*86.4/$G$1)</f>
        <v>0.999366891018546</v>
      </c>
      <c r="H1429" s="0" t="n">
        <f aca="false">COSH($E$1*B1429*86.4/$G$1)</f>
        <v>28.1070013605916</v>
      </c>
      <c r="I1429" s="0" t="n">
        <f aca="false">(($G$1^2*1000)/($E$1*$I$1))*(H1429-1)</f>
        <v>26.2861582399995</v>
      </c>
      <c r="J1429" s="0" t="n">
        <f aca="false">$J$3*EXP(-$E$1*B1429*86.4/$G$1)</f>
        <v>17.7947950031363</v>
      </c>
      <c r="K1429" s="0" t="n">
        <f aca="false">J1428-J1429</f>
        <v>0.0503463662276715</v>
      </c>
    </row>
    <row r="1430" customFormat="false" ht="12.8" hidden="false" customHeight="false" outlineLevel="0" collapsed="false">
      <c r="A1430" s="0" t="n">
        <v>1</v>
      </c>
      <c r="B1430" s="0" t="n">
        <f aca="false">B1429+A1430</f>
        <v>1427</v>
      </c>
      <c r="C1430" s="0" t="n">
        <f aca="false">$C$3+($G$1/($E$1*86.4))*SINH($E$1*B1430*86.4/$G$1)</f>
        <v>54574.2432774959</v>
      </c>
      <c r="D1430" s="0" t="n">
        <f aca="false">C1430-$C$3-B1430</f>
        <v>8543.24327749589</v>
      </c>
      <c r="E1430" s="0" t="n">
        <f aca="false">$E$1*B1430*86.4</f>
        <v>1209502.368</v>
      </c>
      <c r="F1430" s="0" t="n">
        <f aca="false">$G$1*G1430</f>
        <v>299811.13716832</v>
      </c>
      <c r="G1430" s="0" t="n">
        <f aca="false">TANH($E$1*B1430*86.4/$G$1)</f>
        <v>0.999370457227734</v>
      </c>
      <c r="H1430" s="0" t="n">
        <f aca="false">COSH($E$1*B1430*86.4/$G$1)</f>
        <v>28.1864735177223</v>
      </c>
      <c r="I1430" s="0" t="n">
        <f aca="false">(($G$1^2*1000)/($E$1*$I$1))*(H1430-1)</f>
        <v>26.3632238537951</v>
      </c>
      <c r="J1430" s="0" t="n">
        <f aca="false">$J$3*EXP(-$E$1*B1430*86.4/$G$1)</f>
        <v>17.7445906787418</v>
      </c>
      <c r="K1430" s="0" t="n">
        <f aca="false">J1429-J1430</f>
        <v>0.0502043243945387</v>
      </c>
    </row>
    <row r="1431" customFormat="false" ht="12.8" hidden="false" customHeight="false" outlineLevel="0" collapsed="false">
      <c r="A1431" s="0" t="n">
        <v>1</v>
      </c>
      <c r="B1431" s="0" t="n">
        <f aca="false">B1430+A1431</f>
        <v>1428</v>
      </c>
      <c r="C1431" s="0" t="n">
        <f aca="false">$C$3+($G$1/($E$1*86.4))*SINH($E$1*B1431*86.4/$G$1)</f>
        <v>54602.4695808117</v>
      </c>
      <c r="D1431" s="0" t="n">
        <f aca="false">C1431-$C$3-B1431</f>
        <v>8570.4695808117</v>
      </c>
      <c r="E1431" s="0" t="n">
        <f aca="false">$E$1*B1431*86.4</f>
        <v>1210349.952</v>
      </c>
      <c r="F1431" s="0" t="n">
        <f aca="false">$G$1*G1431</f>
        <v>299812.201006585</v>
      </c>
      <c r="G1431" s="0" t="n">
        <f aca="false">TANH($E$1*B1431*86.4/$G$1)</f>
        <v>0.999374003355284</v>
      </c>
      <c r="H1431" s="0" t="n">
        <f aca="false">COSH($E$1*B1431*86.4/$G$1)</f>
        <v>28.2661706652711</v>
      </c>
      <c r="I1431" s="0" t="n">
        <f aca="false">(($G$1^2*1000)/($E$1*$I$1))*(H1431-1)</f>
        <v>26.440507644941</v>
      </c>
      <c r="J1431" s="0" t="n">
        <f aca="false">$J$3*EXP(-$E$1*B1431*86.4/$G$1)</f>
        <v>17.6945279954388</v>
      </c>
      <c r="K1431" s="0" t="n">
        <f aca="false">J1430-J1431</f>
        <v>0.0500626833030005</v>
      </c>
    </row>
    <row r="1432" customFormat="false" ht="12.8" hidden="false" customHeight="false" outlineLevel="0" collapsed="false">
      <c r="A1432" s="0" t="n">
        <v>1</v>
      </c>
      <c r="B1432" s="0" t="n">
        <f aca="false">B1431+A1432</f>
        <v>1429</v>
      </c>
      <c r="C1432" s="0" t="n">
        <f aca="false">$C$3+($G$1/($E$1*86.4))*SINH($E$1*B1432*86.4/$G$1)</f>
        <v>54630.7756940353</v>
      </c>
      <c r="D1432" s="0" t="n">
        <f aca="false">C1432-$C$3-B1432</f>
        <v>8597.77569403528</v>
      </c>
      <c r="E1432" s="0" t="n">
        <f aca="false">$E$1*B1432*86.4</f>
        <v>1211197.536</v>
      </c>
      <c r="F1432" s="0" t="n">
        <f aca="false">$G$1*G1432</f>
        <v>299813.258854262</v>
      </c>
      <c r="G1432" s="0" t="n">
        <f aca="false">TANH($E$1*B1432*86.4/$G$1)</f>
        <v>0.999377529514205</v>
      </c>
      <c r="H1432" s="0" t="n">
        <f aca="false">COSH($E$1*B1432*86.4/$G$1)</f>
        <v>28.3460934393976</v>
      </c>
      <c r="I1432" s="0" t="n">
        <f aca="false">(($G$1^2*1000)/($E$1*$I$1))*(H1432-1)</f>
        <v>26.518010230333</v>
      </c>
      <c r="J1432" s="0" t="n">
        <f aca="false">$J$3*EXP(-$E$1*B1432*86.4/$G$1)</f>
        <v>17.6446065536163</v>
      </c>
      <c r="K1432" s="0" t="n">
        <f aca="false">J1431-J1432</f>
        <v>0.0499214418224518</v>
      </c>
    </row>
    <row r="1433" customFormat="false" ht="12.8" hidden="false" customHeight="false" outlineLevel="0" collapsed="false">
      <c r="A1433" s="0" t="n">
        <v>1</v>
      </c>
      <c r="B1433" s="0" t="n">
        <f aca="false">B1432+A1433</f>
        <v>1430</v>
      </c>
      <c r="C1433" s="0" t="n">
        <f aca="false">$C$3+($G$1/($E$1*86.4))*SINH($E$1*B1433*86.4/$G$1)</f>
        <v>54659.161843112</v>
      </c>
      <c r="D1433" s="0" t="n">
        <f aca="false">C1433-$C$3-B1433</f>
        <v>8625.161843112</v>
      </c>
      <c r="E1433" s="0" t="n">
        <f aca="false">$E$1*B1433*86.4</f>
        <v>1212045.12</v>
      </c>
      <c r="F1433" s="0" t="n">
        <f aca="false">$G$1*G1433</f>
        <v>299814.310745062</v>
      </c>
      <c r="G1433" s="0" t="n">
        <f aca="false">TANH($E$1*B1433*86.4/$G$1)</f>
        <v>0.999381035816873</v>
      </c>
      <c r="H1433" s="0" t="n">
        <f aca="false">COSH($E$1*B1433*86.4/$G$1)</f>
        <v>28.4262424780623</v>
      </c>
      <c r="I1433" s="0" t="n">
        <f aca="false">(($G$1^2*1000)/($E$1*$I$1))*(H1433-1)</f>
        <v>26.5957322286129</v>
      </c>
      <c r="J1433" s="0" t="n">
        <f aca="false">$J$3*EXP(-$E$1*B1433*86.4/$G$1)</f>
        <v>17.5948259547909</v>
      </c>
      <c r="K1433" s="0" t="n">
        <f aca="false">J1432-J1433</f>
        <v>0.049780598825425</v>
      </c>
    </row>
    <row r="1434" customFormat="false" ht="12.8" hidden="false" customHeight="false" outlineLevel="0" collapsed="false">
      <c r="A1434" s="0" t="n">
        <v>1</v>
      </c>
      <c r="B1434" s="0" t="n">
        <f aca="false">B1433+A1434</f>
        <v>1431</v>
      </c>
      <c r="C1434" s="0" t="n">
        <f aca="false">$C$3+($G$1/($E$1*86.4))*SINH($E$1*B1434*86.4/$G$1)</f>
        <v>54687.6282546261</v>
      </c>
      <c r="D1434" s="0" t="n">
        <f aca="false">C1434-$C$3-B1434</f>
        <v>8652.62825462614</v>
      </c>
      <c r="E1434" s="0" t="n">
        <f aca="false">$E$1*B1434*86.4</f>
        <v>1212892.704</v>
      </c>
      <c r="F1434" s="0" t="n">
        <f aca="false">$G$1*G1434</f>
        <v>299815.35671251</v>
      </c>
      <c r="G1434" s="0" t="n">
        <f aca="false">TANH($E$1*B1434*86.4/$G$1)</f>
        <v>0.999384522375034</v>
      </c>
      <c r="H1434" s="0" t="n">
        <f aca="false">COSH($E$1*B1434*86.4/$G$1)</f>
        <v>28.5066184210318</v>
      </c>
      <c r="I1434" s="0" t="n">
        <f aca="false">(($G$1^2*1000)/($E$1*$I$1))*(H1434-1)</f>
        <v>26.6736742601744</v>
      </c>
      <c r="J1434" s="0" t="n">
        <f aca="false">$J$3*EXP(-$E$1*B1434*86.4/$G$1)</f>
        <v>17.5451858016032</v>
      </c>
      <c r="K1434" s="0" t="n">
        <f aca="false">J1433-J1434</f>
        <v>0.0496401531877169</v>
      </c>
    </row>
    <row r="1435" customFormat="false" ht="12.8" hidden="false" customHeight="false" outlineLevel="0" collapsed="false">
      <c r="A1435" s="0" t="n">
        <v>1</v>
      </c>
      <c r="B1435" s="0" t="n">
        <f aca="false">B1434+A1435</f>
        <v>1432</v>
      </c>
      <c r="C1435" s="0" t="n">
        <f aca="false">$C$3+($G$1/($E$1*86.4))*SINH($E$1*B1435*86.4/$G$1)</f>
        <v>54716.1751558027</v>
      </c>
      <c r="D1435" s="0" t="n">
        <f aca="false">C1435-$C$3-B1435</f>
        <v>8680.17515580266</v>
      </c>
      <c r="E1435" s="0" t="n">
        <f aca="false">$E$1*B1435*86.4</f>
        <v>1213740.288</v>
      </c>
      <c r="F1435" s="0" t="n">
        <f aca="false">$G$1*G1435</f>
        <v>299816.39678994</v>
      </c>
      <c r="G1435" s="0" t="n">
        <f aca="false">TANH($E$1*B1435*86.4/$G$1)</f>
        <v>0.999387989299801</v>
      </c>
      <c r="H1435" s="0" t="n">
        <f aca="false">COSH($E$1*B1435*86.4/$G$1)</f>
        <v>28.587221909884</v>
      </c>
      <c r="I1435" s="0" t="n">
        <f aca="false">(($G$1^2*1000)/($E$1*$I$1))*(H1435-1)</f>
        <v>26.7518369471674</v>
      </c>
      <c r="J1435" s="0" t="n">
        <f aca="false">$J$3*EXP(-$E$1*B1435*86.4/$G$1)</f>
        <v>17.4956856978149</v>
      </c>
      <c r="K1435" s="0" t="n">
        <f aca="false">J1434-J1435</f>
        <v>0.0495001037882652</v>
      </c>
    </row>
    <row r="1436" customFormat="false" ht="12.8" hidden="false" customHeight="false" outlineLevel="0" collapsed="false">
      <c r="A1436" s="0" t="n">
        <v>1</v>
      </c>
      <c r="B1436" s="0" t="n">
        <f aca="false">B1435+A1436</f>
        <v>1433</v>
      </c>
      <c r="C1436" s="0" t="n">
        <f aca="false">$C$3+($G$1/($E$1*86.4))*SINH($E$1*B1436*86.4/$G$1)</f>
        <v>54744.802774509</v>
      </c>
      <c r="D1436" s="0" t="n">
        <f aca="false">C1436-$C$3-B1436</f>
        <v>8707.80277450899</v>
      </c>
      <c r="E1436" s="0" t="n">
        <f aca="false">$E$1*B1436*86.4</f>
        <v>1214587.872</v>
      </c>
      <c r="F1436" s="0" t="n">
        <f aca="false">$G$1*G1436</f>
        <v>299817.4310105</v>
      </c>
      <c r="G1436" s="0" t="n">
        <f aca="false">TANH($E$1*B1436*86.4/$G$1)</f>
        <v>0.999391436701667</v>
      </c>
      <c r="H1436" s="0" t="n">
        <f aca="false">COSH($E$1*B1436*86.4/$G$1)</f>
        <v>28.6680535880131</v>
      </c>
      <c r="I1436" s="0" t="n">
        <f aca="false">(($G$1^2*1000)/($E$1*$I$1))*(H1436-1)</f>
        <v>26.8302209135029</v>
      </c>
      <c r="J1436" s="0" t="n">
        <f aca="false">$J$3*EXP(-$E$1*B1436*86.4/$G$1)</f>
        <v>17.4463252483058</v>
      </c>
      <c r="K1436" s="0" t="n">
        <f aca="false">J1435-J1436</f>
        <v>0.0493604495091624</v>
      </c>
    </row>
    <row r="1437" customFormat="false" ht="12.8" hidden="false" customHeight="false" outlineLevel="0" collapsed="false">
      <c r="A1437" s="0" t="n">
        <v>1</v>
      </c>
      <c r="B1437" s="0" t="n">
        <f aca="false">B1436+A1437</f>
        <v>1434</v>
      </c>
      <c r="C1437" s="0" t="n">
        <f aca="false">$C$3+($G$1/($E$1*86.4))*SINH($E$1*B1437*86.4/$G$1)</f>
        <v>54773.5113392568</v>
      </c>
      <c r="D1437" s="0" t="n">
        <f aca="false">C1437-$C$3-B1437</f>
        <v>8735.51133925683</v>
      </c>
      <c r="E1437" s="0" t="n">
        <f aca="false">$E$1*B1437*86.4</f>
        <v>1215435.456</v>
      </c>
      <c r="F1437" s="0" t="n">
        <f aca="false">$G$1*G1437</f>
        <v>299818.459407151</v>
      </c>
      <c r="G1437" s="0" t="n">
        <f aca="false">TANH($E$1*B1437*86.4/$G$1)</f>
        <v>0.999394864690502</v>
      </c>
      <c r="H1437" s="0" t="n">
        <f aca="false">COSH($E$1*B1437*86.4/$G$1)</f>
        <v>28.7491141006346</v>
      </c>
      <c r="I1437" s="0" t="n">
        <f aca="false">(($G$1^2*1000)/($E$1*$I$1))*(H1437-1)</f>
        <v>26.9088267848585</v>
      </c>
      <c r="J1437" s="0" t="n">
        <f aca="false">$J$3*EXP(-$E$1*B1437*86.4/$G$1)</f>
        <v>17.3971040590701</v>
      </c>
      <c r="K1437" s="0" t="n">
        <f aca="false">J1436-J1437</f>
        <v>0.0492211892356274</v>
      </c>
    </row>
    <row r="1438" customFormat="false" ht="12.8" hidden="false" customHeight="false" outlineLevel="0" collapsed="false">
      <c r="A1438" s="0" t="n">
        <v>1</v>
      </c>
      <c r="B1438" s="0" t="n">
        <f aca="false">B1437+A1438</f>
        <v>1435</v>
      </c>
      <c r="C1438" s="0" t="n">
        <f aca="false">$C$3+($G$1/($E$1*86.4))*SINH($E$1*B1438*86.4/$G$1)</f>
        <v>54802.3010792041</v>
      </c>
      <c r="D1438" s="0" t="n">
        <f aca="false">C1438-$C$3-B1438</f>
        <v>8763.30107920407</v>
      </c>
      <c r="E1438" s="0" t="n">
        <f aca="false">$E$1*B1438*86.4</f>
        <v>1216283.04</v>
      </c>
      <c r="F1438" s="0" t="n">
        <f aca="false">$G$1*G1438</f>
        <v>299819.482012668</v>
      </c>
      <c r="G1438" s="0" t="n">
        <f aca="false">TANH($E$1*B1438*86.4/$G$1)</f>
        <v>0.99939827337556</v>
      </c>
      <c r="H1438" s="0" t="n">
        <f aca="false">COSH($E$1*B1438*86.4/$G$1)</f>
        <v>28.8304040947909</v>
      </c>
      <c r="I1438" s="0" t="n">
        <f aca="false">(($G$1^2*1000)/($E$1*$I$1))*(H1438-1)</f>
        <v>26.9876551886829</v>
      </c>
      <c r="J1438" s="0" t="n">
        <f aca="false">$J$3*EXP(-$E$1*B1438*86.4/$G$1)</f>
        <v>17.348021737214</v>
      </c>
      <c r="K1438" s="0" t="n">
        <f aca="false">J1437-J1438</f>
        <v>0.0490823218560941</v>
      </c>
    </row>
    <row r="1439" customFormat="false" ht="12.8" hidden="false" customHeight="false" outlineLevel="0" collapsed="false">
      <c r="A1439" s="0" t="n">
        <v>1</v>
      </c>
      <c r="B1439" s="0" t="n">
        <f aca="false">B1438+A1439</f>
        <v>1436</v>
      </c>
      <c r="C1439" s="0" t="n">
        <f aca="false">$C$3+($G$1/($E$1*86.4))*SINH($E$1*B1439*86.4/$G$1)</f>
        <v>54831.1722241565</v>
      </c>
      <c r="D1439" s="0" t="n">
        <f aca="false">C1439-$C$3-B1439</f>
        <v>8791.17222415652</v>
      </c>
      <c r="E1439" s="0" t="n">
        <f aca="false">$E$1*B1439*86.4</f>
        <v>1217130.624</v>
      </c>
      <c r="F1439" s="0" t="n">
        <f aca="false">$G$1*G1439</f>
        <v>299820.498859643</v>
      </c>
      <c r="G1439" s="0" t="n">
        <f aca="false">TANH($E$1*B1439*86.4/$G$1)</f>
        <v>0.999401662865477</v>
      </c>
      <c r="H1439" s="0" t="n">
        <f aca="false">COSH($E$1*B1439*86.4/$G$1)</f>
        <v>28.9119242193559</v>
      </c>
      <c r="I1439" s="0" t="n">
        <f aca="false">(($G$1^2*1000)/($E$1*$I$1))*(H1439-1)</f>
        <v>27.0667067542011</v>
      </c>
      <c r="J1439" s="0" t="n">
        <f aca="false">$J$3*EXP(-$E$1*B1439*86.4/$G$1)</f>
        <v>17.299077890952</v>
      </c>
      <c r="K1439" s="0" t="n">
        <f aca="false">J1438-J1439</f>
        <v>0.0489438462620697</v>
      </c>
    </row>
    <row r="1440" customFormat="false" ht="12.8" hidden="false" customHeight="false" outlineLevel="0" collapsed="false">
      <c r="A1440" s="0" t="n">
        <v>1</v>
      </c>
      <c r="B1440" s="0" t="n">
        <f aca="false">B1439+A1440</f>
        <v>1437</v>
      </c>
      <c r="C1440" s="0" t="n">
        <f aca="false">$C$3+($G$1/($E$1*86.4))*SINH($E$1*B1440*86.4/$G$1)</f>
        <v>54860.1250045698</v>
      </c>
      <c r="D1440" s="0" t="n">
        <f aca="false">C1440-$C$3-B1440</f>
        <v>8819.12500456981</v>
      </c>
      <c r="E1440" s="0" t="n">
        <f aca="false">$E$1*B1440*86.4</f>
        <v>1217978.208</v>
      </c>
      <c r="F1440" s="0" t="n">
        <f aca="false">$G$1*G1440</f>
        <v>299821.509980485</v>
      </c>
      <c r="G1440" s="0" t="n">
        <f aca="false">TANH($E$1*B1440*86.4/$G$1)</f>
        <v>0.999405033268283</v>
      </c>
      <c r="H1440" s="0" t="n">
        <f aca="false">COSH($E$1*B1440*86.4/$G$1)</f>
        <v>28.9936751250406</v>
      </c>
      <c r="I1440" s="0" t="n">
        <f aca="false">(($G$1^2*1000)/($E$1*$I$1))*(H1440-1)</f>
        <v>27.1459821124196</v>
      </c>
      <c r="J1440" s="0" t="n">
        <f aca="false">$J$3*EXP(-$E$1*B1440*86.4/$G$1)</f>
        <v>17.2502721296037</v>
      </c>
      <c r="K1440" s="0" t="n">
        <f aca="false">J1439-J1440</f>
        <v>0.0488057613482447</v>
      </c>
    </row>
    <row r="1441" customFormat="false" ht="12.8" hidden="false" customHeight="false" outlineLevel="0" collapsed="false">
      <c r="A1441" s="0" t="n">
        <v>1</v>
      </c>
      <c r="B1441" s="0" t="n">
        <f aca="false">B1440+A1441</f>
        <v>1438</v>
      </c>
      <c r="C1441" s="0" t="n">
        <f aca="false">$C$3+($G$1/($E$1*86.4))*SINH($E$1*B1441*86.4/$G$1)</f>
        <v>54889.1596515512</v>
      </c>
      <c r="D1441" s="0" t="n">
        <f aca="false">C1441-$C$3-B1441</f>
        <v>8847.15965155115</v>
      </c>
      <c r="E1441" s="0" t="n">
        <f aca="false">$E$1*B1441*86.4</f>
        <v>1218825.792</v>
      </c>
      <c r="F1441" s="0" t="n">
        <f aca="false">$G$1*G1441</f>
        <v>299822.51540742</v>
      </c>
      <c r="G1441" s="0" t="n">
        <f aca="false">TANH($E$1*B1441*86.4/$G$1)</f>
        <v>0.999408384691399</v>
      </c>
      <c r="H1441" s="0" t="n">
        <f aca="false">COSH($E$1*B1441*86.4/$G$1)</f>
        <v>29.075657464398</v>
      </c>
      <c r="I1441" s="0" t="n">
        <f aca="false">(($G$1^2*1000)/($E$1*$I$1))*(H1441-1)</f>
        <v>27.2254818961312</v>
      </c>
      <c r="J1441" s="0" t="n">
        <f aca="false">$J$3*EXP(-$E$1*B1441*86.4/$G$1)</f>
        <v>17.2016040635914</v>
      </c>
      <c r="K1441" s="0" t="n">
        <f aca="false">J1440-J1441</f>
        <v>0.0486680660123398</v>
      </c>
    </row>
    <row r="1442" customFormat="false" ht="12.8" hidden="false" customHeight="false" outlineLevel="0" collapsed="false">
      <c r="A1442" s="0" t="n">
        <v>1</v>
      </c>
      <c r="B1442" s="0" t="n">
        <f aca="false">B1441+A1442</f>
        <v>1439</v>
      </c>
      <c r="C1442" s="0" t="n">
        <f aca="false">$C$3+($G$1/($E$1*86.4))*SINH($E$1*B1442*86.4/$G$1)</f>
        <v>54918.2763968613</v>
      </c>
      <c r="D1442" s="0" t="n">
        <f aca="false">C1442-$C$3-B1442</f>
        <v>8875.27639686128</v>
      </c>
      <c r="E1442" s="0" t="n">
        <f aca="false">$E$1*B1442*86.4</f>
        <v>1219673.376</v>
      </c>
      <c r="F1442" s="0" t="n">
        <f aca="false">$G$1*G1442</f>
        <v>299823.515172492</v>
      </c>
      <c r="G1442" s="0" t="n">
        <f aca="false">TANH($E$1*B1442*86.4/$G$1)</f>
        <v>0.99941171724164</v>
      </c>
      <c r="H1442" s="0" t="n">
        <f aca="false">COSH($E$1*B1442*86.4/$G$1)</f>
        <v>29.1578718918287</v>
      </c>
      <c r="I1442" s="0" t="n">
        <f aca="false">(($G$1^2*1000)/($E$1*$I$1))*(H1442-1)</f>
        <v>27.3052067399198</v>
      </c>
      <c r="J1442" s="0" t="n">
        <f aca="false">$J$3*EXP(-$E$1*B1442*86.4/$G$1)</f>
        <v>17.1530733044361</v>
      </c>
      <c r="K1442" s="0" t="n">
        <f aca="false">J1441-J1442</f>
        <v>0.0485307591553053</v>
      </c>
    </row>
    <row r="1443" customFormat="false" ht="12.8" hidden="false" customHeight="false" outlineLevel="0" collapsed="false">
      <c r="A1443" s="0" t="n">
        <v>1</v>
      </c>
      <c r="B1443" s="0" t="n">
        <f aca="false">B1442+A1443</f>
        <v>1440</v>
      </c>
      <c r="C1443" s="0" t="n">
        <f aca="false">$C$3+($G$1/($E$1*86.4))*SINH($E$1*B1443*86.4/$G$1)</f>
        <v>54947.4754729162</v>
      </c>
      <c r="D1443" s="0" t="n">
        <f aca="false">C1443-$C$3-B1443</f>
        <v>8903.47547291623</v>
      </c>
      <c r="E1443" s="0" t="n">
        <f aca="false">$E$1*B1443*86.4</f>
        <v>1220520.96</v>
      </c>
      <c r="F1443" s="0" t="n">
        <f aca="false">$G$1*G1443</f>
        <v>299824.509307567</v>
      </c>
      <c r="G1443" s="0" t="n">
        <f aca="false">TANH($E$1*B1443*86.4/$G$1)</f>
        <v>0.999415031025224</v>
      </c>
      <c r="H1443" s="0" t="n">
        <f aca="false">COSH($E$1*B1443*86.4/$G$1)</f>
        <v>29.2403190635855</v>
      </c>
      <c r="I1443" s="0" t="n">
        <f aca="false">(($G$1^2*1000)/($E$1*$I$1))*(H1443-1)</f>
        <v>27.3851572801663</v>
      </c>
      <c r="J1443" s="0" t="n">
        <f aca="false">$J$3*EXP(-$E$1*B1443*86.4/$G$1)</f>
        <v>17.104679464755</v>
      </c>
      <c r="K1443" s="0" t="n">
        <f aca="false">J1442-J1443</f>
        <v>0.048393839681065</v>
      </c>
    </row>
    <row r="1444" customFormat="false" ht="12.8" hidden="false" customHeight="false" outlineLevel="0" collapsed="false">
      <c r="A1444" s="0" t="n">
        <v>1</v>
      </c>
      <c r="B1444" s="0" t="n">
        <f aca="false">B1443+A1444</f>
        <v>1441</v>
      </c>
      <c r="C1444" s="0" t="n">
        <f aca="false">$C$3+($G$1/($E$1*86.4))*SINH($E$1*B1444*86.4/$G$1)</f>
        <v>54976.7571127892</v>
      </c>
      <c r="D1444" s="0" t="n">
        <f aca="false">C1444-$C$3-B1444</f>
        <v>8931.75711278924</v>
      </c>
      <c r="E1444" s="0" t="n">
        <f aca="false">$E$1*B1444*86.4</f>
        <v>1221368.544</v>
      </c>
      <c r="F1444" s="0" t="n">
        <f aca="false">$G$1*G1444</f>
        <v>299825.497844331</v>
      </c>
      <c r="G1444" s="0" t="n">
        <f aca="false">TANH($E$1*B1444*86.4/$G$1)</f>
        <v>0.99941832614777</v>
      </c>
      <c r="H1444" s="0" t="n">
        <f aca="false">COSH($E$1*B1444*86.4/$G$1)</f>
        <v>29.3229996377795</v>
      </c>
      <c r="I1444" s="0" t="n">
        <f aca="false">(($G$1^2*1000)/($E$1*$I$1))*(H1444-1)</f>
        <v>27.4653341550528</v>
      </c>
      <c r="J1444" s="0" t="n">
        <f aca="false">$J$3*EXP(-$E$1*B1444*86.4/$G$1)</f>
        <v>17.0564221582583</v>
      </c>
      <c r="K1444" s="0" t="n">
        <f aca="false">J1443-J1444</f>
        <v>0.0482573064967653</v>
      </c>
    </row>
    <row r="1445" customFormat="false" ht="12.8" hidden="false" customHeight="false" outlineLevel="0" collapsed="false">
      <c r="A1445" s="0" t="n">
        <v>1</v>
      </c>
      <c r="B1445" s="0" t="n">
        <f aca="false">B1444+A1445</f>
        <v>1442</v>
      </c>
      <c r="C1445" s="0" t="n">
        <f aca="false">$C$3+($G$1/($E$1*86.4))*SINH($E$1*B1445*86.4/$G$1)</f>
        <v>55006.1215502126</v>
      </c>
      <c r="D1445" s="0" t="n">
        <f aca="false">C1445-$C$3-B1445</f>
        <v>8960.12155021256</v>
      </c>
      <c r="E1445" s="0" t="n">
        <f aca="false">$E$1*B1445*86.4</f>
        <v>1222216.128</v>
      </c>
      <c r="F1445" s="0" t="n">
        <f aca="false">$G$1*G1445</f>
        <v>299826.480814291</v>
      </c>
      <c r="G1445" s="0" t="n">
        <f aca="false">TANH($E$1*B1445*86.4/$G$1)</f>
        <v>0.999421602714303</v>
      </c>
      <c r="H1445" s="0" t="n">
        <f aca="false">COSH($E$1*B1445*86.4/$G$1)</f>
        <v>29.4059142743843</v>
      </c>
      <c r="I1445" s="0" t="n">
        <f aca="false">(($G$1^2*1000)/($E$1*$I$1))*(H1445-1)</f>
        <v>27.5457380045681</v>
      </c>
      <c r="J1445" s="0" t="n">
        <f aca="false">$J$3*EXP(-$E$1*B1445*86.4/$G$1)</f>
        <v>17.0083009997458</v>
      </c>
      <c r="K1445" s="0" t="n">
        <f aca="false">J1444-J1445</f>
        <v>0.0481211585124832</v>
      </c>
    </row>
    <row r="1446" customFormat="false" ht="12.8" hidden="false" customHeight="false" outlineLevel="0" collapsed="false">
      <c r="A1446" s="0" t="n">
        <v>1</v>
      </c>
      <c r="B1446" s="0" t="n">
        <f aca="false">B1445+A1446</f>
        <v>1443</v>
      </c>
      <c r="C1446" s="0" t="n">
        <f aca="false">$C$3+($G$1/($E$1*86.4))*SINH($E$1*B1446*86.4/$G$1)</f>
        <v>55035.5690195794</v>
      </c>
      <c r="D1446" s="0" t="n">
        <f aca="false">C1446-$C$3-B1446</f>
        <v>8988.5690195794</v>
      </c>
      <c r="E1446" s="0" t="n">
        <f aca="false">$E$1*B1446*86.4</f>
        <v>1223063.712</v>
      </c>
      <c r="F1446" s="0" t="n">
        <f aca="false">$G$1*G1446</f>
        <v>299827.458248778</v>
      </c>
      <c r="G1446" s="0" t="n">
        <f aca="false">TANH($E$1*B1446*86.4/$G$1)</f>
        <v>0.999424860829259</v>
      </c>
      <c r="H1446" s="0" t="n">
        <f aca="false">COSH($E$1*B1446*86.4/$G$1)</f>
        <v>29.4890636352424</v>
      </c>
      <c r="I1446" s="0" t="n">
        <f aca="false">(($G$1^2*1000)/($E$1*$I$1))*(H1446-1)</f>
        <v>27.6263694705128</v>
      </c>
      <c r="J1446" s="0" t="n">
        <f aca="false">$J$3*EXP(-$E$1*B1446*86.4/$G$1)</f>
        <v>16.9603156051042</v>
      </c>
      <c r="K1446" s="0" t="n">
        <f aca="false">J1445-J1446</f>
        <v>0.0479853946415787</v>
      </c>
    </row>
    <row r="1447" customFormat="false" ht="12.8" hidden="false" customHeight="false" outlineLevel="0" collapsed="false">
      <c r="A1447" s="0" t="n">
        <v>1</v>
      </c>
      <c r="B1447" s="0" t="n">
        <f aca="false">B1446+A1447</f>
        <v>1444</v>
      </c>
      <c r="C1447" s="0" t="n">
        <f aca="false">$C$3+($G$1/($E$1*86.4))*SINH($E$1*B1447*86.4/$G$1)</f>
        <v>55065.0997559457</v>
      </c>
      <c r="D1447" s="0" t="n">
        <f aca="false">C1447-$C$3-B1447</f>
        <v>9017.09975594569</v>
      </c>
      <c r="E1447" s="0" t="n">
        <f aca="false">$E$1*B1447*86.4</f>
        <v>1223911.296</v>
      </c>
      <c r="F1447" s="0" t="n">
        <f aca="false">$G$1*G1447</f>
        <v>299828.430178946</v>
      </c>
      <c r="G1447" s="0" t="n">
        <f aca="false">TANH($E$1*B1447*86.4/$G$1)</f>
        <v>0.999428100596486</v>
      </c>
      <c r="H1447" s="0" t="n">
        <f aca="false">COSH($E$1*B1447*86.4/$G$1)</f>
        <v>29.5724483840695</v>
      </c>
      <c r="I1447" s="0" t="n">
        <f aca="false">(($G$1^2*1000)/($E$1*$I$1))*(H1447-1)</f>
        <v>27.7072291965045</v>
      </c>
      <c r="J1447" s="0" t="n">
        <f aca="false">$J$3*EXP(-$E$1*B1447*86.4/$G$1)</f>
        <v>16.912465591304</v>
      </c>
      <c r="K1447" s="0" t="n">
        <f aca="false">J1446-J1447</f>
        <v>0.0478500138002289</v>
      </c>
    </row>
    <row r="1448" customFormat="false" ht="12.8" hidden="false" customHeight="false" outlineLevel="0" collapsed="false">
      <c r="A1448" s="0" t="n">
        <v>1</v>
      </c>
      <c r="B1448" s="0" t="n">
        <f aca="false">B1447+A1448</f>
        <v>1445</v>
      </c>
      <c r="C1448" s="0" t="n">
        <f aca="false">$C$3+($G$1/($E$1*86.4))*SINH($E$1*B1448*86.4/$G$1)</f>
        <v>55094.713995032</v>
      </c>
      <c r="D1448" s="0" t="n">
        <f aca="false">C1448-$C$3-B1448</f>
        <v>9045.71399503204</v>
      </c>
      <c r="E1448" s="0" t="n">
        <f aca="false">$E$1*B1448*86.4</f>
        <v>1224758.88</v>
      </c>
      <c r="F1448" s="0" t="n">
        <f aca="false">$G$1*G1448</f>
        <v>299829.396635774</v>
      </c>
      <c r="G1448" s="0" t="n">
        <f aca="false">TANH($E$1*B1448*86.4/$G$1)</f>
        <v>0.999431322119248</v>
      </c>
      <c r="H1448" s="0" t="n">
        <f aca="false">COSH($E$1*B1448*86.4/$G$1)</f>
        <v>29.6560691864605</v>
      </c>
      <c r="I1448" s="0" t="n">
        <f aca="false">(($G$1^2*1000)/($E$1*$I$1))*(H1448-1)</f>
        <v>27.7883178279825</v>
      </c>
      <c r="J1448" s="0" t="n">
        <f aca="false">$J$3*EXP(-$E$1*B1448*86.4/$G$1)</f>
        <v>16.8647505763961</v>
      </c>
      <c r="K1448" s="0" t="n">
        <f aca="false">J1447-J1448</f>
        <v>0.0477150149078831</v>
      </c>
    </row>
    <row r="1449" customFormat="false" ht="12.8" hidden="false" customHeight="false" outlineLevel="0" collapsed="false">
      <c r="A1449" s="0" t="n">
        <v>1</v>
      </c>
      <c r="B1449" s="0" t="n">
        <f aca="false">B1448+A1449</f>
        <v>1446</v>
      </c>
      <c r="C1449" s="0" t="n">
        <f aca="false">$C$3+($G$1/($E$1*86.4))*SINH($E$1*B1449*86.4/$G$1)</f>
        <v>55124.4119732256</v>
      </c>
      <c r="D1449" s="0" t="n">
        <f aca="false">C1449-$C$3-B1449</f>
        <v>9074.41197322561</v>
      </c>
      <c r="E1449" s="0" t="n">
        <f aca="false">$E$1*B1449*86.4</f>
        <v>1225606.464</v>
      </c>
      <c r="F1449" s="0" t="n">
        <f aca="false">$G$1*G1449</f>
        <v>299830.357650069</v>
      </c>
      <c r="G1449" s="0" t="n">
        <f aca="false">TANH($E$1*B1449*86.4/$G$1)</f>
        <v>0.999434525500229</v>
      </c>
      <c r="H1449" s="0" t="n">
        <f aca="false">COSH($E$1*B1449*86.4/$G$1)</f>
        <v>29.7399267098944</v>
      </c>
      <c r="I1449" s="0" t="n">
        <f aca="false">(($G$1^2*1000)/($E$1*$I$1))*(H1449-1)</f>
        <v>27.8696360122138</v>
      </c>
      <c r="J1449" s="0" t="n">
        <f aca="false">$J$3*EXP(-$E$1*B1449*86.4/$G$1)</f>
        <v>16.8171701795092</v>
      </c>
      <c r="K1449" s="0" t="n">
        <f aca="false">J1448-J1449</f>
        <v>0.0475803968869215</v>
      </c>
    </row>
    <row r="1450" customFormat="false" ht="12.8" hidden="false" customHeight="false" outlineLevel="0" collapsed="false">
      <c r="A1450" s="0" t="n">
        <v>1</v>
      </c>
      <c r="B1450" s="0" t="n">
        <f aca="false">B1449+A1450</f>
        <v>1447</v>
      </c>
      <c r="C1450" s="0" t="n">
        <f aca="false">$C$3+($G$1/($E$1*86.4))*SINH($E$1*B1450*86.4/$G$1)</f>
        <v>55154.1939275819</v>
      </c>
      <c r="D1450" s="0" t="n">
        <f aca="false">C1450-$C$3-B1450</f>
        <v>9103.19392758195</v>
      </c>
      <c r="E1450" s="0" t="n">
        <f aca="false">$E$1*B1450*86.4</f>
        <v>1226454.048</v>
      </c>
      <c r="F1450" s="0" t="n">
        <f aca="false">$G$1*G1450</f>
        <v>299831.313252461</v>
      </c>
      <c r="G1450" s="0" t="n">
        <f aca="false">TANH($E$1*B1450*86.4/$G$1)</f>
        <v>0.999437710841535</v>
      </c>
      <c r="H1450" s="0" t="n">
        <f aca="false">COSH($E$1*B1450*86.4/$G$1)</f>
        <v>29.8240216237396</v>
      </c>
      <c r="I1450" s="0" t="n">
        <f aca="false">(($G$1^2*1000)/($E$1*$I$1))*(H1450-1)</f>
        <v>27.9511843982971</v>
      </c>
      <c r="J1450" s="0" t="n">
        <f aca="false">$J$3*EXP(-$E$1*B1450*86.4/$G$1)</f>
        <v>16.7697240208464</v>
      </c>
      <c r="K1450" s="0" t="n">
        <f aca="false">J1449-J1450</f>
        <v>0.0474461586627655</v>
      </c>
    </row>
    <row r="1451" customFormat="false" ht="12.8" hidden="false" customHeight="false" outlineLevel="0" collapsed="false">
      <c r="A1451" s="0" t="n">
        <v>1</v>
      </c>
      <c r="B1451" s="0" t="n">
        <f aca="false">B1450+A1451</f>
        <v>1448</v>
      </c>
      <c r="C1451" s="0" t="n">
        <f aca="false">$C$3+($G$1/($E$1*86.4))*SINH($E$1*B1451*86.4/$G$1)</f>
        <v>55184.060095827</v>
      </c>
      <c r="D1451" s="0" t="n">
        <f aca="false">C1451-$C$3-B1451</f>
        <v>9132.06009582696</v>
      </c>
      <c r="E1451" s="0" t="n">
        <f aca="false">$E$1*B1451*86.4</f>
        <v>1227301.632</v>
      </c>
      <c r="F1451" s="0" t="n">
        <f aca="false">$G$1*G1451</f>
        <v>299832.26347341</v>
      </c>
      <c r="G1451" s="0" t="n">
        <f aca="false">TANH($E$1*B1451*86.4/$G$1)</f>
        <v>0.9994408782447</v>
      </c>
      <c r="H1451" s="0" t="n">
        <f aca="false">COSH($E$1*B1451*86.4/$G$1)</f>
        <v>29.9083545992597</v>
      </c>
      <c r="I1451" s="0" t="n">
        <f aca="false">(($G$1^2*1000)/($E$1*$I$1))*(H1451-1)</f>
        <v>28.0329636371691</v>
      </c>
      <c r="J1451" s="0" t="n">
        <f aca="false">$J$3*EXP(-$E$1*B1451*86.4/$G$1)</f>
        <v>16.7224117216824</v>
      </c>
      <c r="K1451" s="0" t="n">
        <f aca="false">J1450-J1451</f>
        <v>0.0473122991639592</v>
      </c>
    </row>
    <row r="1452" customFormat="false" ht="12.8" hidden="false" customHeight="false" outlineLevel="0" collapsed="false">
      <c r="A1452" s="0" t="n">
        <v>1</v>
      </c>
      <c r="B1452" s="0" t="n">
        <f aca="false">B1451+A1452</f>
        <v>1449</v>
      </c>
      <c r="C1452" s="0" t="n">
        <f aca="false">$C$3+($G$1/($E$1*86.4))*SINH($E$1*B1452*86.4/$G$1)</f>
        <v>55214.0107163587</v>
      </c>
      <c r="D1452" s="0" t="n">
        <f aca="false">C1452-$C$3-B1452</f>
        <v>9161.01071635872</v>
      </c>
      <c r="E1452" s="0" t="n">
        <f aca="false">$E$1*B1452*86.4</f>
        <v>1228149.216</v>
      </c>
      <c r="F1452" s="0" t="n">
        <f aca="false">$G$1*G1452</f>
        <v>299833.208343205</v>
      </c>
      <c r="G1452" s="0" t="n">
        <f aca="false">TANH($E$1*B1452*86.4/$G$1)</f>
        <v>0.999444027810684</v>
      </c>
      <c r="H1452" s="0" t="n">
        <f aca="false">COSH($E$1*B1452*86.4/$G$1)</f>
        <v>29.9929263096183</v>
      </c>
      <c r="I1452" s="0" t="n">
        <f aca="false">(($G$1^2*1000)/($E$1*$I$1))*(H1452-1)</f>
        <v>28.1149743816089</v>
      </c>
      <c r="J1452" s="0" t="n">
        <f aca="false">$J$3*EXP(-$E$1*B1452*86.4/$G$1)</f>
        <v>16.6752329043605</v>
      </c>
      <c r="K1452" s="0" t="n">
        <f aca="false">J1451-J1452</f>
        <v>0.0471788173219245</v>
      </c>
    </row>
    <row r="1453" customFormat="false" ht="12.8" hidden="false" customHeight="false" outlineLevel="0" collapsed="false">
      <c r="A1453" s="0" t="n">
        <v>1</v>
      </c>
      <c r="B1453" s="0" t="n">
        <f aca="false">B1452+A1453</f>
        <v>1450</v>
      </c>
      <c r="C1453" s="0" t="n">
        <f aca="false">$C$3+($G$1/($E$1*86.4))*SINH($E$1*B1453*86.4/$G$1)</f>
        <v>55244.0460282495</v>
      </c>
      <c r="D1453" s="0" t="n">
        <f aca="false">C1453-$C$3-B1453</f>
        <v>9190.04602824947</v>
      </c>
      <c r="E1453" s="0" t="n">
        <f aca="false">$E$1*B1453*86.4</f>
        <v>1228996.8</v>
      </c>
      <c r="F1453" s="0" t="n">
        <f aca="false">$G$1*G1453</f>
        <v>299834.147891964</v>
      </c>
      <c r="G1453" s="0" t="n">
        <f aca="false">TANH($E$1*B1453*86.4/$G$1)</f>
        <v>0.999447159639881</v>
      </c>
      <c r="H1453" s="0" t="n">
        <f aca="false">COSH($E$1*B1453*86.4/$G$1)</f>
        <v>30.077737429885</v>
      </c>
      <c r="I1453" s="0" t="n">
        <f aca="false">(($G$1^2*1000)/($E$1*$I$1))*(H1453-1)</f>
        <v>28.197217286244</v>
      </c>
      <c r="J1453" s="0" t="n">
        <f aca="false">$J$3*EXP(-$E$1*B1453*86.4/$G$1)</f>
        <v>16.6281871922892</v>
      </c>
      <c r="K1453" s="0" t="n">
        <f aca="false">J1452-J1453</f>
        <v>0.047045712071295</v>
      </c>
    </row>
    <row r="1454" customFormat="false" ht="12.8" hidden="false" customHeight="false" outlineLevel="0" collapsed="false">
      <c r="A1454" s="0" t="n">
        <v>1</v>
      </c>
      <c r="B1454" s="0" t="n">
        <f aca="false">B1453+A1454</f>
        <v>1451</v>
      </c>
      <c r="C1454" s="0" t="n">
        <f aca="false">$C$3+($G$1/($E$1*86.4))*SINH($E$1*B1454*86.4/$G$1)</f>
        <v>55274.1662712474</v>
      </c>
      <c r="D1454" s="0" t="n">
        <f aca="false">C1454-$C$3-B1454</f>
        <v>9219.16627124743</v>
      </c>
      <c r="E1454" s="0" t="n">
        <f aca="false">$E$1*B1454*86.4</f>
        <v>1229844.384</v>
      </c>
      <c r="F1454" s="0" t="n">
        <f aca="false">$G$1*G1454</f>
        <v>299835.082149637</v>
      </c>
      <c r="G1454" s="0" t="n">
        <f aca="false">TANH($E$1*B1454*86.4/$G$1)</f>
        <v>0.999450273832123</v>
      </c>
      <c r="H1454" s="0" t="n">
        <f aca="false">COSH($E$1*B1454*86.4/$G$1)</f>
        <v>30.1627886370399</v>
      </c>
      <c r="I1454" s="0" t="n">
        <f aca="false">(($G$1^2*1000)/($E$1*$I$1))*(H1454-1)</f>
        <v>28.2796930075544</v>
      </c>
      <c r="J1454" s="0" t="n">
        <f aca="false">$J$3*EXP(-$E$1*B1454*86.4/$G$1)</f>
        <v>16.5812742099397</v>
      </c>
      <c r="K1454" s="0" t="n">
        <f aca="false">J1453-J1454</f>
        <v>0.0469129823494825</v>
      </c>
    </row>
    <row r="1455" customFormat="false" ht="12.8" hidden="false" customHeight="false" outlineLevel="0" collapsed="false">
      <c r="A1455" s="0" t="n">
        <v>1</v>
      </c>
      <c r="B1455" s="0" t="n">
        <f aca="false">B1454+A1455</f>
        <v>1452</v>
      </c>
      <c r="C1455" s="0" t="n">
        <f aca="false">$C$3+($G$1/($E$1*86.4))*SINH($E$1*B1455*86.4/$G$1)</f>
        <v>55304.3716857788</v>
      </c>
      <c r="D1455" s="0" t="n">
        <f aca="false">C1455-$C$3-B1455</f>
        <v>9248.3716857788</v>
      </c>
      <c r="E1455" s="0" t="n">
        <f aca="false">$E$1*B1455*86.4</f>
        <v>1230691.968</v>
      </c>
      <c r="F1455" s="0" t="n">
        <f aca="false">$G$1*G1455</f>
        <v>299836.011146003</v>
      </c>
      <c r="G1455" s="0" t="n">
        <f aca="false">TANH($E$1*B1455*86.4/$G$1)</f>
        <v>0.999453370486675</v>
      </c>
      <c r="H1455" s="0" t="n">
        <f aca="false">COSH($E$1*B1455*86.4/$G$1)</f>
        <v>30.24808060998</v>
      </c>
      <c r="I1455" s="0" t="n">
        <f aca="false">(($G$1^2*1000)/($E$1*$I$1))*(H1455-1)</f>
        <v>28.362402203879</v>
      </c>
      <c r="J1455" s="0" t="n">
        <f aca="false">$J$3*EXP(-$E$1*B1455*86.4/$G$1)</f>
        <v>16.5344935828426</v>
      </c>
      <c r="K1455" s="0" t="n">
        <f aca="false">J1454-J1455</f>
        <v>0.046780627097089</v>
      </c>
    </row>
    <row r="1456" customFormat="false" ht="12.8" hidden="false" customHeight="false" outlineLevel="0" collapsed="false">
      <c r="A1456" s="0" t="n">
        <v>1</v>
      </c>
      <c r="B1456" s="0" t="n">
        <f aca="false">B1455+A1456</f>
        <v>1453</v>
      </c>
      <c r="C1456" s="0" t="n">
        <f aca="false">$C$3+($G$1/($E$1*86.4))*SINH($E$1*B1456*86.4/$G$1)</f>
        <v>55334.6625129496</v>
      </c>
      <c r="D1456" s="0" t="n">
        <f aca="false">C1456-$C$3-B1456</f>
        <v>9277.66251294957</v>
      </c>
      <c r="E1456" s="0" t="n">
        <f aca="false">$E$1*B1456*86.4</f>
        <v>1231539.552</v>
      </c>
      <c r="F1456" s="0" t="n">
        <f aca="false">$G$1*G1456</f>
        <v>299836.934910675</v>
      </c>
      <c r="G1456" s="0" t="n">
        <f aca="false">TANH($E$1*B1456*86.4/$G$1)</f>
        <v>0.99945644970225</v>
      </c>
      <c r="H1456" s="0" t="n">
        <f aca="false">COSH($E$1*B1456*86.4/$G$1)</f>
        <v>30.3336140295238</v>
      </c>
      <c r="I1456" s="0" t="n">
        <f aca="false">(($G$1^2*1000)/($E$1*$I$1))*(H1456-1)</f>
        <v>28.4453455354201</v>
      </c>
      <c r="J1456" s="0" t="n">
        <f aca="false">$J$3*EXP(-$E$1*B1456*86.4/$G$1)</f>
        <v>16.4878449375851</v>
      </c>
      <c r="K1456" s="0" t="n">
        <f aca="false">J1455-J1456</f>
        <v>0.0466486452575694</v>
      </c>
    </row>
    <row r="1457" customFormat="false" ht="12.8" hidden="false" customHeight="false" outlineLevel="0" collapsed="false">
      <c r="A1457" s="0" t="n">
        <v>1</v>
      </c>
      <c r="B1457" s="0" t="n">
        <f aca="false">B1456+A1457</f>
        <v>1454</v>
      </c>
      <c r="C1457" s="0" t="n">
        <f aca="false">$C$3+($G$1/($E$1*86.4))*SINH($E$1*B1457*86.4/$G$1)</f>
        <v>55365.0389945476</v>
      </c>
      <c r="D1457" s="0" t="n">
        <f aca="false">C1457-$C$3-B1457</f>
        <v>9307.03899454761</v>
      </c>
      <c r="E1457" s="0" t="n">
        <f aca="false">$E$1*B1457*86.4</f>
        <v>1232387.136</v>
      </c>
      <c r="F1457" s="0" t="n">
        <f aca="false">$G$1*G1457</f>
        <v>299837.853473101</v>
      </c>
      <c r="G1457" s="0" t="n">
        <f aca="false">TANH($E$1*B1457*86.4/$G$1)</f>
        <v>0.999459511577002</v>
      </c>
      <c r="H1457" s="0" t="n">
        <f aca="false">COSH($E$1*B1457*86.4/$G$1)</f>
        <v>30.4193895784173</v>
      </c>
      <c r="I1457" s="0" t="n">
        <f aca="false">(($G$1^2*1000)/($E$1*$I$1))*(H1457-1)</f>
        <v>28.528523664249</v>
      </c>
      <c r="J1457" s="0" t="n">
        <f aca="false">$J$3*EXP(-$E$1*B1457*86.4/$G$1)</f>
        <v>16.4413279018076</v>
      </c>
      <c r="K1457" s="0" t="n">
        <f aca="false">J1456-J1457</f>
        <v>0.046517035777466</v>
      </c>
    </row>
    <row r="1458" customFormat="false" ht="12.8" hidden="false" customHeight="false" outlineLevel="0" collapsed="false">
      <c r="A1458" s="0" t="n">
        <v>1</v>
      </c>
      <c r="B1458" s="0" t="n">
        <f aca="false">B1457+A1458</f>
        <v>1455</v>
      </c>
      <c r="C1458" s="0" t="n">
        <f aca="false">$C$3+($G$1/($E$1*86.4))*SINH($E$1*B1458*86.4/$G$1)</f>
        <v>55395.5013730444</v>
      </c>
      <c r="D1458" s="0" t="n">
        <f aca="false">C1458-$C$3-B1458</f>
        <v>9336.5013730444</v>
      </c>
      <c r="E1458" s="0" t="n">
        <f aca="false">$E$1*B1458*86.4</f>
        <v>1233234.72</v>
      </c>
      <c r="F1458" s="0" t="n">
        <f aca="false">$G$1*G1458</f>
        <v>299838.76686256</v>
      </c>
      <c r="G1458" s="0" t="n">
        <f aca="false">TANH($E$1*B1458*86.4/$G$1)</f>
        <v>0.999462556208534</v>
      </c>
      <c r="H1458" s="0" t="n">
        <f aca="false">COSH($E$1*B1458*86.4/$G$1)</f>
        <v>30.5054079413391</v>
      </c>
      <c r="I1458" s="0" t="n">
        <f aca="false">(($G$1^2*1000)/($E$1*$I$1))*(H1458-1)</f>
        <v>28.6119372543113</v>
      </c>
      <c r="J1458" s="0" t="n">
        <f aca="false">$J$3*EXP(-$E$1*B1458*86.4/$G$1)</f>
        <v>16.3949421042014</v>
      </c>
      <c r="K1458" s="0" t="n">
        <f aca="false">J1457-J1458</f>
        <v>0.0463857976062023</v>
      </c>
    </row>
    <row r="1459" customFormat="false" ht="12.8" hidden="false" customHeight="false" outlineLevel="0" collapsed="false">
      <c r="A1459" s="0" t="n">
        <v>1</v>
      </c>
      <c r="B1459" s="0" t="n">
        <f aca="false">B1458+A1459</f>
        <v>1456</v>
      </c>
      <c r="C1459" s="0" t="n">
        <f aca="false">$C$3+($G$1/($E$1*86.4))*SINH($E$1*B1459*86.4/$G$1)</f>
        <v>55426.0498915972</v>
      </c>
      <c r="D1459" s="0" t="n">
        <f aca="false">C1459-$C$3-B1459</f>
        <v>9366.04989159715</v>
      </c>
      <c r="E1459" s="0" t="n">
        <f aca="false">$E$1*B1459*86.4</f>
        <v>1234082.304</v>
      </c>
      <c r="F1459" s="0" t="n">
        <f aca="false">$G$1*G1459</f>
        <v>299839.675108171</v>
      </c>
      <c r="G1459" s="0" t="n">
        <f aca="false">TANH($E$1*B1459*86.4/$G$1)</f>
        <v>0.999465583693902</v>
      </c>
      <c r="H1459" s="0" t="n">
        <f aca="false">COSH($E$1*B1459*86.4/$G$1)</f>
        <v>30.5916698049061</v>
      </c>
      <c r="I1459" s="0" t="n">
        <f aca="false">(($G$1^2*1000)/($E$1*$I$1))*(H1459-1)</f>
        <v>28.6955869714318</v>
      </c>
      <c r="J1459" s="0" t="n">
        <f aca="false">$J$3*EXP(-$E$1*B1459*86.4/$G$1)</f>
        <v>16.3486871745052</v>
      </c>
      <c r="K1459" s="0" t="n">
        <f aca="false">J1458-J1459</f>
        <v>0.04625492969625</v>
      </c>
    </row>
    <row r="1460" customFormat="false" ht="12.8" hidden="false" customHeight="false" outlineLevel="0" collapsed="false">
      <c r="A1460" s="0" t="n">
        <v>1</v>
      </c>
      <c r="B1460" s="0" t="n">
        <f aca="false">B1459+A1460</f>
        <v>1457</v>
      </c>
      <c r="C1460" s="0" t="n">
        <f aca="false">$C$3+($G$1/($E$1*86.4))*SINH($E$1*B1460*86.4/$G$1)</f>
        <v>55456.6847940506</v>
      </c>
      <c r="D1460" s="0" t="n">
        <f aca="false">C1460-$C$3-B1460</f>
        <v>9395.68479405058</v>
      </c>
      <c r="E1460" s="0" t="n">
        <f aca="false">$E$1*B1460*86.4</f>
        <v>1234929.888</v>
      </c>
      <c r="F1460" s="0" t="n">
        <f aca="false">$G$1*G1460</f>
        <v>299840.578238884</v>
      </c>
      <c r="G1460" s="0" t="n">
        <f aca="false">TANH($E$1*B1460*86.4/$G$1)</f>
        <v>0.999468594129614</v>
      </c>
      <c r="H1460" s="0" t="n">
        <f aca="false">COSH($E$1*B1460*86.4/$G$1)</f>
        <v>30.6781758576787</v>
      </c>
      <c r="I1460" s="0" t="n">
        <f aca="false">(($G$1^2*1000)/($E$1*$I$1))*(H1460-1)</f>
        <v>28.7794734833204</v>
      </c>
      <c r="J1460" s="0" t="n">
        <f aca="false">$J$3*EXP(-$E$1*B1460*86.4/$G$1)</f>
        <v>16.3025627435022</v>
      </c>
      <c r="K1460" s="0" t="n">
        <f aca="false">J1459-J1460</f>
        <v>0.0461244310029301</v>
      </c>
    </row>
    <row r="1461" customFormat="false" ht="12.8" hidden="false" customHeight="false" outlineLevel="0" collapsed="false">
      <c r="A1461" s="0" t="n">
        <v>1</v>
      </c>
      <c r="B1461" s="0" t="n">
        <f aca="false">B1460+A1461</f>
        <v>1458</v>
      </c>
      <c r="C1461" s="0" t="n">
        <f aca="false">$C$3+($G$1/($E$1*86.4))*SINH($E$1*B1461*86.4/$G$1)</f>
        <v>55487.406324939</v>
      </c>
      <c r="D1461" s="0" t="n">
        <f aca="false">C1461-$C$3-B1461</f>
        <v>9425.40632493905</v>
      </c>
      <c r="E1461" s="0" t="n">
        <f aca="false">$E$1*B1461*86.4</f>
        <v>1235777.472</v>
      </c>
      <c r="F1461" s="0" t="n">
        <f aca="false">$G$1*G1461</f>
        <v>299841.476283491</v>
      </c>
      <c r="G1461" s="0" t="n">
        <f aca="false">TANH($E$1*B1461*86.4/$G$1)</f>
        <v>0.999471587611637</v>
      </c>
      <c r="H1461" s="0" t="n">
        <f aca="false">COSH($E$1*B1461*86.4/$G$1)</f>
        <v>30.7649267901668</v>
      </c>
      <c r="I1461" s="0" t="n">
        <f aca="false">(($G$1^2*1000)/($E$1*$I$1))*(H1461-1)</f>
        <v>28.8635974595771</v>
      </c>
      <c r="J1461" s="0" t="n">
        <f aca="false">$J$3*EXP(-$E$1*B1461*86.4/$G$1)</f>
        <v>16.2565684430176</v>
      </c>
      <c r="K1461" s="0" t="n">
        <f aca="false">J1460-J1461</f>
        <v>0.0459943004846686</v>
      </c>
    </row>
    <row r="1462" customFormat="false" ht="12.8" hidden="false" customHeight="false" outlineLevel="0" collapsed="false">
      <c r="A1462" s="0" t="n">
        <v>1</v>
      </c>
      <c r="B1462" s="0" t="n">
        <f aca="false">B1461+A1462</f>
        <v>1459</v>
      </c>
      <c r="C1462" s="0" t="n">
        <f aca="false">$C$3+($G$1/($E$1*86.4))*SINH($E$1*B1462*86.4/$G$1)</f>
        <v>55518.2147294883</v>
      </c>
      <c r="D1462" s="0" t="n">
        <f aca="false">C1462-$C$3-B1462</f>
        <v>9455.2147294883</v>
      </c>
      <c r="E1462" s="0" t="n">
        <f aca="false">$E$1*B1462*86.4</f>
        <v>1236625.056</v>
      </c>
      <c r="F1462" s="0" t="n">
        <f aca="false">$G$1*G1462</f>
        <v>299842.369270619</v>
      </c>
      <c r="G1462" s="0" t="n">
        <f aca="false">TANH($E$1*B1462*86.4/$G$1)</f>
        <v>0.999474564235396</v>
      </c>
      <c r="H1462" s="0" t="n">
        <f aca="false">COSH($E$1*B1462*86.4/$G$1)</f>
        <v>30.8519232948346</v>
      </c>
      <c r="I1462" s="0" t="n">
        <f aca="false">(($G$1^2*1000)/($E$1*$I$1))*(H1462-1)</f>
        <v>28.9479595716973</v>
      </c>
      <c r="J1462" s="0" t="n">
        <f aca="false">$J$3*EXP(-$E$1*B1462*86.4/$G$1)</f>
        <v>16.2107039059149</v>
      </c>
      <c r="K1462" s="0" t="n">
        <f aca="false">J1461-J1462</f>
        <v>0.0458645371026449</v>
      </c>
    </row>
    <row r="1463" customFormat="false" ht="12.8" hidden="false" customHeight="false" outlineLevel="0" collapsed="false">
      <c r="A1463" s="0" t="n">
        <v>1</v>
      </c>
      <c r="B1463" s="0" t="n">
        <f aca="false">B1462+A1463</f>
        <v>1460</v>
      </c>
      <c r="C1463" s="0" t="n">
        <f aca="false">$C$3+($G$1/($E$1*86.4))*SINH($E$1*B1463*86.4/$G$1)</f>
        <v>55549.1102536176</v>
      </c>
      <c r="D1463" s="0" t="n">
        <f aca="false">C1463-$C$3-B1463</f>
        <v>9485.11025361756</v>
      </c>
      <c r="E1463" s="0" t="n">
        <f aca="false">$E$1*B1463*86.4</f>
        <v>1237472.64</v>
      </c>
      <c r="F1463" s="0" t="n">
        <f aca="false">$G$1*G1463</f>
        <v>299843.257228735</v>
      </c>
      <c r="G1463" s="0" t="n">
        <f aca="false">TANH($E$1*B1463*86.4/$G$1)</f>
        <v>0.999477524095784</v>
      </c>
      <c r="H1463" s="0" t="n">
        <f aca="false">COSH($E$1*B1463*86.4/$G$1)</f>
        <v>30.9391660661067</v>
      </c>
      <c r="I1463" s="0" t="n">
        <f aca="false">(($G$1^2*1000)/($E$1*$I$1))*(H1463-1)</f>
        <v>29.0325604930773</v>
      </c>
      <c r="J1463" s="0" t="n">
        <f aca="false">$J$3*EXP(-$E$1*B1463*86.4/$G$1)</f>
        <v>16.1649687660938</v>
      </c>
      <c r="K1463" s="0" t="n">
        <f aca="false">J1462-J1463</f>
        <v>0.0457351398211046</v>
      </c>
    </row>
    <row r="1464" customFormat="false" ht="12.8" hidden="false" customHeight="false" outlineLevel="0" collapsed="false">
      <c r="A1464" s="0" t="n">
        <v>1</v>
      </c>
      <c r="B1464" s="0" t="n">
        <f aca="false">B1463+A1464</f>
        <v>1461</v>
      </c>
      <c r="C1464" s="0" t="n">
        <f aca="false">$C$3+($G$1/($E$1*86.4))*SINH($E$1*B1464*86.4/$G$1)</f>
        <v>55580.0931439415</v>
      </c>
      <c r="D1464" s="0" t="n">
        <f aca="false">C1464-$C$3-B1464</f>
        <v>9515.09314394149</v>
      </c>
      <c r="E1464" s="0" t="n">
        <f aca="false">$E$1*B1464*86.4</f>
        <v>1238320.224</v>
      </c>
      <c r="F1464" s="0" t="n">
        <f aca="false">$G$1*G1464</f>
        <v>299844.140186146</v>
      </c>
      <c r="G1464" s="0" t="n">
        <f aca="false">TANH($E$1*B1464*86.4/$G$1)</f>
        <v>0.999480467287155</v>
      </c>
      <c r="H1464" s="0" t="n">
        <f aca="false">COSH($E$1*B1464*86.4/$G$1)</f>
        <v>31.0266558003735</v>
      </c>
      <c r="I1464" s="0" t="n">
        <f aca="false">(($G$1^2*1000)/($E$1*$I$1))*(H1464-1)</f>
        <v>29.1174008990196</v>
      </c>
      <c r="J1464" s="0" t="n">
        <f aca="false">$J$3*EXP(-$E$1*B1464*86.4/$G$1)</f>
        <v>16.1193626584866</v>
      </c>
      <c r="K1464" s="0" t="n">
        <f aca="false">J1463-J1464</f>
        <v>0.0456061076071812</v>
      </c>
    </row>
    <row r="1465" customFormat="false" ht="12.8" hidden="false" customHeight="false" outlineLevel="0" collapsed="false">
      <c r="A1465" s="0" t="n">
        <v>1</v>
      </c>
      <c r="B1465" s="0" t="n">
        <f aca="false">B1464+A1465</f>
        <v>1462</v>
      </c>
      <c r="C1465" s="0" t="n">
        <f aca="false">$C$3+($G$1/($E$1*86.4))*SINH($E$1*B1465*86.4/$G$1)</f>
        <v>55611.1636477721</v>
      </c>
      <c r="D1465" s="0" t="n">
        <f aca="false">C1465-$C$3-B1465</f>
        <v>9545.16364777208</v>
      </c>
      <c r="E1465" s="0" t="n">
        <f aca="false">$E$1*B1465*86.4</f>
        <v>1239167.808</v>
      </c>
      <c r="F1465" s="0" t="n">
        <f aca="false">$G$1*G1465</f>
        <v>299845.018171001</v>
      </c>
      <c r="G1465" s="0" t="n">
        <f aca="false">TANH($E$1*B1465*86.4/$G$1)</f>
        <v>0.999483393903336</v>
      </c>
      <c r="H1465" s="0" t="n">
        <f aca="false">COSH($E$1*B1465*86.4/$G$1)</f>
        <v>31.1143931959965</v>
      </c>
      <c r="I1465" s="0" t="n">
        <f aca="false">(($G$1^2*1000)/($E$1*$I$1))*(H1465-1)</f>
        <v>29.2024814667384</v>
      </c>
      <c r="J1465" s="0" t="n">
        <f aca="false">$J$3*EXP(-$E$1*B1465*86.4/$G$1)</f>
        <v>16.0738852190558</v>
      </c>
      <c r="K1465" s="0" t="n">
        <f aca="false">J1464-J1465</f>
        <v>0.0454774394308686</v>
      </c>
    </row>
    <row r="1466" customFormat="false" ht="12.8" hidden="false" customHeight="false" outlineLevel="0" collapsed="false">
      <c r="A1466" s="0" t="n">
        <v>1</v>
      </c>
      <c r="B1466" s="0" t="n">
        <f aca="false">B1465+A1466</f>
        <v>1463</v>
      </c>
      <c r="C1466" s="0" t="n">
        <f aca="false">$C$3+($G$1/($E$1*86.4))*SINH($E$1*B1466*86.4/$G$1)</f>
        <v>55642.3220131207</v>
      </c>
      <c r="D1466" s="0" t="n">
        <f aca="false">C1466-$C$3-B1466</f>
        <v>9575.32201312069</v>
      </c>
      <c r="E1466" s="0" t="n">
        <f aca="false">$E$1*B1466*86.4</f>
        <v>1240015.392</v>
      </c>
      <c r="F1466" s="0" t="n">
        <f aca="false">$G$1*G1466</f>
        <v>299845.891211288</v>
      </c>
      <c r="G1466" s="0" t="n">
        <f aca="false">TANH($E$1*B1466*86.4/$G$1)</f>
        <v>0.999486304037626</v>
      </c>
      <c r="H1466" s="0" t="n">
        <f aca="false">COSH($E$1*B1466*86.4/$G$1)</f>
        <v>31.2023789533144</v>
      </c>
      <c r="I1466" s="0" t="n">
        <f aca="false">(($G$1^2*1000)/($E$1*$I$1))*(H1466-1)</f>
        <v>29.2878028753648</v>
      </c>
      <c r="J1466" s="0" t="n">
        <f aca="false">$J$3*EXP(-$E$1*B1466*86.4/$G$1)</f>
        <v>16.0285360847906</v>
      </c>
      <c r="K1466" s="0" t="n">
        <f aca="false">J1465-J1466</f>
        <v>0.045349134265166</v>
      </c>
    </row>
    <row r="1467" customFormat="false" ht="12.8" hidden="false" customHeight="false" outlineLevel="0" collapsed="false">
      <c r="A1467" s="0" t="n">
        <v>1</v>
      </c>
      <c r="B1467" s="0" t="n">
        <f aca="false">B1466+A1467</f>
        <v>1464</v>
      </c>
      <c r="C1467" s="0" t="n">
        <f aca="false">$C$3+($G$1/($E$1*86.4))*SINH($E$1*B1467*86.4/$G$1)</f>
        <v>55673.5684887</v>
      </c>
      <c r="D1467" s="0" t="n">
        <f aca="false">C1467-$C$3-B1467</f>
        <v>9605.56848870001</v>
      </c>
      <c r="E1467" s="0" t="n">
        <f aca="false">$E$1*B1467*86.4</f>
        <v>1240862.976</v>
      </c>
      <c r="F1467" s="0" t="n">
        <f aca="false">$G$1*G1467</f>
        <v>299846.759334839</v>
      </c>
      <c r="G1467" s="0" t="n">
        <f aca="false">TANH($E$1*B1467*86.4/$G$1)</f>
        <v>0.999489197782798</v>
      </c>
      <c r="H1467" s="0" t="n">
        <f aca="false">COSH($E$1*B1467*86.4/$G$1)</f>
        <v>31.2906137746481</v>
      </c>
      <c r="I1467" s="0" t="n">
        <f aca="false">(($G$1^2*1000)/($E$1*$I$1))*(H1467-1)</f>
        <v>29.3733658059524</v>
      </c>
      <c r="J1467" s="0" t="n">
        <f aca="false">$J$3*EXP(-$E$1*B1467*86.4/$G$1)</f>
        <v>15.9833148937048</v>
      </c>
      <c r="K1467" s="0" t="n">
        <f aca="false">J1466-J1467</f>
        <v>0.0452211910858367</v>
      </c>
    </row>
    <row r="1468" customFormat="false" ht="12.8" hidden="false" customHeight="false" outlineLevel="0" collapsed="false">
      <c r="A1468" s="0" t="n">
        <v>1</v>
      </c>
      <c r="B1468" s="0" t="n">
        <f aca="false">B1467+A1468</f>
        <v>1465</v>
      </c>
      <c r="C1468" s="0" t="n">
        <f aca="false">$C$3+($G$1/($E$1*86.4))*SINH($E$1*B1468*86.4/$G$1)</f>
        <v>55704.9033239261</v>
      </c>
      <c r="D1468" s="0" t="n">
        <f aca="false">C1468-$C$3-B1468</f>
        <v>9635.90332392608</v>
      </c>
      <c r="E1468" s="0" t="n">
        <f aca="false">$E$1*B1468*86.4</f>
        <v>1241710.56</v>
      </c>
      <c r="F1468" s="0" t="n">
        <f aca="false">$G$1*G1468</f>
        <v>299847.622569331</v>
      </c>
      <c r="G1468" s="0" t="n">
        <f aca="false">TANH($E$1*B1468*86.4/$G$1)</f>
        <v>0.999492075231105</v>
      </c>
      <c r="H1468" s="0" t="n">
        <f aca="false">COSH($E$1*B1468*86.4/$G$1)</f>
        <v>31.3790983643067</v>
      </c>
      <c r="I1468" s="0" t="n">
        <f aca="false">(($G$1^2*1000)/($E$1*$I$1))*(H1468-1)</f>
        <v>29.4591709414828</v>
      </c>
      <c r="J1468" s="0" t="n">
        <f aca="false">$J$3*EXP(-$E$1*B1468*86.4/$G$1)</f>
        <v>15.938221284833</v>
      </c>
      <c r="K1468" s="0" t="n">
        <f aca="false">J1467-J1468</f>
        <v>0.0450936088717349</v>
      </c>
    </row>
    <row r="1469" customFormat="false" ht="12.8" hidden="false" customHeight="false" outlineLevel="0" collapsed="false">
      <c r="A1469" s="0" t="n">
        <v>1</v>
      </c>
      <c r="B1469" s="0" t="n">
        <f aca="false">B1468+A1469</f>
        <v>1466</v>
      </c>
      <c r="C1469" s="0" t="n">
        <f aca="false">$C$3+($G$1/($E$1*86.4))*SINH($E$1*B1469*86.4/$G$1)</f>
        <v>55736.3267689201</v>
      </c>
      <c r="D1469" s="0" t="n">
        <f aca="false">C1469-$C$3-B1469</f>
        <v>9666.32676892015</v>
      </c>
      <c r="E1469" s="0" t="n">
        <f aca="false">$E$1*B1469*86.4</f>
        <v>1242558.144</v>
      </c>
      <c r="F1469" s="0" t="n">
        <f aca="false">$G$1*G1469</f>
        <v>299848.480942284</v>
      </c>
      <c r="G1469" s="0" t="n">
        <f aca="false">TANH($E$1*B1469*86.4/$G$1)</f>
        <v>0.99949493647428</v>
      </c>
      <c r="H1469" s="0" t="n">
        <f aca="false">COSH($E$1*B1469*86.4/$G$1)</f>
        <v>31.4678334285929</v>
      </c>
      <c r="I1469" s="0" t="n">
        <f aca="false">(($G$1^2*1000)/($E$1*$I$1))*(H1469-1)</f>
        <v>29.5452189668707</v>
      </c>
      <c r="J1469" s="0" t="n">
        <f aca="false">$J$3*EXP(-$E$1*B1469*86.4/$G$1)</f>
        <v>15.8932548982287</v>
      </c>
      <c r="K1469" s="0" t="n">
        <f aca="false">J1468-J1469</f>
        <v>0.0449663866043064</v>
      </c>
    </row>
    <row r="1470" customFormat="false" ht="12.8" hidden="false" customHeight="false" outlineLevel="0" collapsed="false">
      <c r="A1470" s="0" t="n">
        <v>1</v>
      </c>
      <c r="B1470" s="0" t="n">
        <f aca="false">B1469+A1470</f>
        <v>1467</v>
      </c>
      <c r="C1470" s="0" t="n">
        <f aca="false">$C$3+($G$1/($E$1*86.4))*SINH($E$1*B1470*86.4/$G$1)</f>
        <v>55767.8390745109</v>
      </c>
      <c r="D1470" s="0" t="n">
        <f aca="false">C1470-$C$3-B1470</f>
        <v>9696.83907451088</v>
      </c>
      <c r="E1470" s="0" t="n">
        <f aca="false">$E$1*B1470*86.4</f>
        <v>1243405.728</v>
      </c>
      <c r="F1470" s="0" t="n">
        <f aca="false">$G$1*G1470</f>
        <v>299849.334481062</v>
      </c>
      <c r="G1470" s="0" t="n">
        <f aca="false">TANH($E$1*B1470*86.4/$G$1)</f>
        <v>0.99949778160354</v>
      </c>
      <c r="H1470" s="0" t="n">
        <f aca="false">COSH($E$1*B1470*86.4/$G$1)</f>
        <v>31.5568196758091</v>
      </c>
      <c r="I1470" s="0" t="n">
        <f aca="false">(($G$1^2*1000)/($E$1*$I$1))*(H1470-1)</f>
        <v>29.6315105689697</v>
      </c>
      <c r="J1470" s="0" t="n">
        <f aca="false">$J$3*EXP(-$E$1*B1470*86.4/$G$1)</f>
        <v>15.8484153749605</v>
      </c>
      <c r="K1470" s="0" t="n">
        <f aca="false">J1469-J1470</f>
        <v>0.0448395232682053</v>
      </c>
    </row>
    <row r="1471" customFormat="false" ht="12.8" hidden="false" customHeight="false" outlineLevel="0" collapsed="false">
      <c r="A1471" s="0" t="n">
        <v>1</v>
      </c>
      <c r="B1471" s="0" t="n">
        <f aca="false">B1470+A1471</f>
        <v>1468</v>
      </c>
      <c r="C1471" s="0" t="n">
        <f aca="false">$C$3+($G$1/($E$1*86.4))*SINH($E$1*B1471*86.4/$G$1)</f>
        <v>55799.4404922362</v>
      </c>
      <c r="D1471" s="0" t="n">
        <f aca="false">C1471-$C$3-B1471</f>
        <v>9727.44049223616</v>
      </c>
      <c r="E1471" s="0" t="n">
        <f aca="false">$E$1*B1471*86.4</f>
        <v>1244253.312</v>
      </c>
      <c r="F1471" s="0" t="n">
        <f aca="false">$G$1*G1471</f>
        <v>299850.183212877</v>
      </c>
      <c r="G1471" s="0" t="n">
        <f aca="false">TANH($E$1*B1471*86.4/$G$1)</f>
        <v>0.999500610709591</v>
      </c>
      <c r="H1471" s="0" t="n">
        <f aca="false">COSH($E$1*B1471*86.4/$G$1)</f>
        <v>31.6460578162621</v>
      </c>
      <c r="I1471" s="0" t="n">
        <f aca="false">(($G$1^2*1000)/($E$1*$I$1))*(H1471-1)</f>
        <v>29.7180464365778</v>
      </c>
      <c r="J1471" s="0" t="n">
        <f aca="false">$J$3*EXP(-$E$1*B1471*86.4/$G$1)</f>
        <v>15.8037023571099</v>
      </c>
      <c r="K1471" s="0" t="n">
        <f aca="false">J1470-J1471</f>
        <v>0.0447130178506505</v>
      </c>
    </row>
    <row r="1472" customFormat="false" ht="12.8" hidden="false" customHeight="false" outlineLevel="0" collapsed="false">
      <c r="A1472" s="0" t="n">
        <v>1</v>
      </c>
      <c r="B1472" s="0" t="n">
        <f aca="false">B1471+A1472</f>
        <v>1469</v>
      </c>
      <c r="C1472" s="0" t="n">
        <f aca="false">$C$3+($G$1/($E$1*86.4))*SINH($E$1*B1472*86.4/$G$1)</f>
        <v>55831.1312743452</v>
      </c>
      <c r="D1472" s="0" t="n">
        <f aca="false">C1472-$C$3-B1472</f>
        <v>9758.13127434524</v>
      </c>
      <c r="E1472" s="0" t="n">
        <f aca="false">$E$1*B1472*86.4</f>
        <v>1245100.896</v>
      </c>
      <c r="F1472" s="0" t="n">
        <f aca="false">$G$1*G1472</f>
        <v>299851.027164788</v>
      </c>
      <c r="G1472" s="0" t="n">
        <f aca="false">TANH($E$1*B1472*86.4/$G$1)</f>
        <v>0.999503423882627</v>
      </c>
      <c r="H1472" s="0" t="n">
        <f aca="false">COSH($E$1*B1472*86.4/$G$1)</f>
        <v>31.7355485622699</v>
      </c>
      <c r="I1472" s="0" t="n">
        <f aca="false">(($G$1^2*1000)/($E$1*$I$1))*(H1472-1)</f>
        <v>29.8048272604426</v>
      </c>
      <c r="J1472" s="0" t="n">
        <f aca="false">$J$3*EXP(-$E$1*B1472*86.4/$G$1)</f>
        <v>15.7591154877679</v>
      </c>
      <c r="K1472" s="0" t="n">
        <f aca="false">J1471-J1472</f>
        <v>0.0445868693419307</v>
      </c>
    </row>
    <row r="1473" customFormat="false" ht="12.8" hidden="false" customHeight="false" outlineLevel="0" collapsed="false">
      <c r="A1473" s="0" t="n">
        <v>1</v>
      </c>
      <c r="B1473" s="0" t="n">
        <f aca="false">B1472+A1473</f>
        <v>1470</v>
      </c>
      <c r="C1473" s="0" t="n">
        <f aca="false">$C$3+($G$1/($E$1*86.4))*SINH($E$1*B1473*86.4/$G$1)</f>
        <v>55862.9116738006</v>
      </c>
      <c r="D1473" s="0" t="n">
        <f aca="false">C1473-$C$3-B1473</f>
        <v>9788.91167380064</v>
      </c>
      <c r="E1473" s="0" t="n">
        <f aca="false">$E$1*B1473*86.4</f>
        <v>1245948.48</v>
      </c>
      <c r="F1473" s="0" t="n">
        <f aca="false">$G$1*G1473</f>
        <v>299851.8663637</v>
      </c>
      <c r="G1473" s="0" t="n">
        <f aca="false">TANH($E$1*B1473*86.4/$G$1)</f>
        <v>0.999506221212335</v>
      </c>
      <c r="H1473" s="0" t="n">
        <f aca="false">COSH($E$1*B1473*86.4/$G$1)</f>
        <v>31.8252926281665</v>
      </c>
      <c r="I1473" s="0" t="n">
        <f aca="false">(($G$1^2*1000)/($E$1*$I$1))*(H1473-1)</f>
        <v>29.891853733267</v>
      </c>
      <c r="J1473" s="0" t="n">
        <f aca="false">$J$3*EXP(-$E$1*B1473*86.4/$G$1)</f>
        <v>15.7146544110329</v>
      </c>
      <c r="K1473" s="0" t="n">
        <f aca="false">J1472-J1473</f>
        <v>0.0444610767350468</v>
      </c>
    </row>
    <row r="1474" customFormat="false" ht="12.8" hidden="false" customHeight="false" outlineLevel="0" collapsed="false">
      <c r="A1474" s="0" t="n">
        <v>1</v>
      </c>
      <c r="B1474" s="0" t="n">
        <f aca="false">B1473+A1474</f>
        <v>1471</v>
      </c>
      <c r="C1474" s="0" t="n">
        <f aca="false">$C$3+($G$1/($E$1*86.4))*SINH($E$1*B1474*86.4/$G$1)</f>
        <v>55894.7819442803</v>
      </c>
      <c r="D1474" s="0" t="n">
        <f aca="false">C1474-$C$3-B1474</f>
        <v>9819.78194428029</v>
      </c>
      <c r="E1474" s="0" t="n">
        <f aca="false">$E$1*B1474*86.4</f>
        <v>1246796.064</v>
      </c>
      <c r="F1474" s="0" t="n">
        <f aca="false">$G$1*G1474</f>
        <v>299852.700836369</v>
      </c>
      <c r="G1474" s="0" t="n">
        <f aca="false">TANH($E$1*B1474*86.4/$G$1)</f>
        <v>0.999509002787898</v>
      </c>
      <c r="H1474" s="0" t="n">
        <f aca="false">COSH($E$1*B1474*86.4/$G$1)</f>
        <v>31.9152907303082</v>
      </c>
      <c r="I1474" s="0" t="n">
        <f aca="false">(($G$1^2*1000)/($E$1*$I$1))*(H1474-1)</f>
        <v>29.979126549715</v>
      </c>
      <c r="J1474" s="0" t="n">
        <f aca="false">$J$3*EXP(-$E$1*B1474*86.4/$G$1)</f>
        <v>15.6703187720069</v>
      </c>
      <c r="K1474" s="0" t="n">
        <f aca="false">J1473-J1474</f>
        <v>0.0443356390259364</v>
      </c>
    </row>
    <row r="1475" customFormat="false" ht="12.8" hidden="false" customHeight="false" outlineLevel="0" collapsed="false">
      <c r="A1475" s="0" t="n">
        <v>1</v>
      </c>
      <c r="B1475" s="0" t="n">
        <f aca="false">B1474+A1475</f>
        <v>1472</v>
      </c>
      <c r="C1475" s="0" t="n">
        <f aca="false">$C$3+($G$1/($E$1*86.4))*SINH($E$1*B1475*86.4/$G$1)</f>
        <v>55926.7423401795</v>
      </c>
      <c r="D1475" s="0" t="n">
        <f aca="false">C1475-$C$3-B1475</f>
        <v>9850.74234017945</v>
      </c>
      <c r="E1475" s="0" t="n">
        <f aca="false">$E$1*B1475*86.4</f>
        <v>1247643.648</v>
      </c>
      <c r="F1475" s="0" t="n">
        <f aca="false">$G$1*G1475</f>
        <v>299853.5306094</v>
      </c>
      <c r="G1475" s="0" t="n">
        <f aca="false">TANH($E$1*B1475*86.4/$G$1)</f>
        <v>0.999511768697998</v>
      </c>
      <c r="H1475" s="0" t="n">
        <f aca="false">COSH($E$1*B1475*86.4/$G$1)</f>
        <v>32.005543587079</v>
      </c>
      <c r="I1475" s="0" t="n">
        <f aca="false">(($G$1^2*1000)/($E$1*$I$1))*(H1475-1)</f>
        <v>30.0666464064165</v>
      </c>
      <c r="J1475" s="0" t="n">
        <f aca="false">$J$3*EXP(-$E$1*B1475*86.4/$G$1)</f>
        <v>15.6261082167936</v>
      </c>
      <c r="K1475" s="0" t="n">
        <f aca="false">J1474-J1475</f>
        <v>0.0442105552133221</v>
      </c>
    </row>
    <row r="1476" customFormat="false" ht="12.8" hidden="false" customHeight="false" outlineLevel="0" collapsed="false">
      <c r="A1476" s="0" t="n">
        <v>1</v>
      </c>
      <c r="B1476" s="0" t="n">
        <f aca="false">B1475+A1476</f>
        <v>1473</v>
      </c>
      <c r="C1476" s="0" t="n">
        <f aca="false">$C$3+($G$1/($E$1*86.4))*SINH($E$1*B1476*86.4/$G$1)</f>
        <v>55958.7931166128</v>
      </c>
      <c r="D1476" s="0" t="n">
        <f aca="false">C1476-$C$3-B1476</f>
        <v>9881.79311661278</v>
      </c>
      <c r="E1476" s="0" t="n">
        <f aca="false">$E$1*B1476*86.4</f>
        <v>1248491.232</v>
      </c>
      <c r="F1476" s="0" t="n">
        <f aca="false">$G$1*G1476</f>
        <v>299854.355709246</v>
      </c>
      <c r="G1476" s="0" t="n">
        <f aca="false">TANH($E$1*B1476*86.4/$G$1)</f>
        <v>0.999514519030818</v>
      </c>
      <c r="H1476" s="0" t="n">
        <f aca="false">COSH($E$1*B1476*86.4/$G$1)</f>
        <v>32.0960519188962</v>
      </c>
      <c r="I1476" s="0" t="n">
        <f aca="false">(($G$1^2*1000)/($E$1*$I$1))*(H1476-1)</f>
        <v>30.1544140019738</v>
      </c>
      <c r="J1476" s="0" t="n">
        <f aca="false">$J$3*EXP(-$E$1*B1476*86.4/$G$1)</f>
        <v>15.5820223924949</v>
      </c>
      <c r="K1476" s="0" t="n">
        <f aca="false">J1475-J1476</f>
        <v>0.0440858242987225</v>
      </c>
    </row>
    <row r="1477" customFormat="false" ht="12.8" hidden="false" customHeight="false" outlineLevel="0" collapsed="false">
      <c r="A1477" s="0" t="n">
        <v>1</v>
      </c>
      <c r="B1477" s="0" t="n">
        <f aca="false">B1476+A1477</f>
        <v>1474</v>
      </c>
      <c r="C1477" s="0" t="n">
        <f aca="false">$C$3+($G$1/($E$1*86.4))*SINH($E$1*B1477*86.4/$G$1)</f>
        <v>55990.9345294164</v>
      </c>
      <c r="D1477" s="0" t="n">
        <f aca="false">C1477-$C$3-B1477</f>
        <v>9912.93452941638</v>
      </c>
      <c r="E1477" s="0" t="n">
        <f aca="false">$E$1*B1477*86.4</f>
        <v>1249338.816</v>
      </c>
      <c r="F1477" s="0" t="n">
        <f aca="false">$G$1*G1477</f>
        <v>299855.176162213</v>
      </c>
      <c r="G1477" s="0" t="n">
        <f aca="false">TANH($E$1*B1477*86.4/$G$1)</f>
        <v>0.999517253874045</v>
      </c>
      <c r="H1477" s="0" t="n">
        <f aca="false">COSH($E$1*B1477*86.4/$G$1)</f>
        <v>32.1868164482167</v>
      </c>
      <c r="I1477" s="0" t="n">
        <f aca="false">(($G$1^2*1000)/($E$1*$I$1))*(H1477-1)</f>
        <v>30.2424300369664</v>
      </c>
      <c r="J1477" s="0" t="n">
        <f aca="false">$J$3*EXP(-$E$1*B1477*86.4/$G$1)</f>
        <v>15.5380609472083</v>
      </c>
      <c r="K1477" s="0" t="n">
        <f aca="false">J1476-J1477</f>
        <v>0.043961445286552</v>
      </c>
    </row>
    <row r="1478" customFormat="false" ht="12.8" hidden="false" customHeight="false" outlineLevel="0" collapsed="false">
      <c r="A1478" s="0" t="n">
        <v>1</v>
      </c>
      <c r="B1478" s="0" t="n">
        <f aca="false">B1477+A1478</f>
        <v>1475</v>
      </c>
      <c r="C1478" s="0" t="n">
        <f aca="false">$C$3+($G$1/($E$1*86.4))*SINH($E$1*B1478*86.4/$G$1)</f>
        <v>56023.1668351498</v>
      </c>
      <c r="D1478" s="0" t="n">
        <f aca="false">C1478-$C$3-B1478</f>
        <v>9944.16683514985</v>
      </c>
      <c r="E1478" s="0" t="n">
        <f aca="false">$E$1*B1478*86.4</f>
        <v>1250186.4</v>
      </c>
      <c r="F1478" s="0" t="n">
        <f aca="false">$G$1*G1478</f>
        <v>299855.991994462</v>
      </c>
      <c r="G1478" s="0" t="n">
        <f aca="false">TANH($E$1*B1478*86.4/$G$1)</f>
        <v>0.999519973314872</v>
      </c>
      <c r="H1478" s="0" t="n">
        <f aca="false">COSH($E$1*B1478*86.4/$G$1)</f>
        <v>32.2778378995422</v>
      </c>
      <c r="I1478" s="0" t="n">
        <f aca="false">(($G$1^2*1000)/($E$1*$I$1))*(H1478-1)</f>
        <v>30.3306952139569</v>
      </c>
      <c r="J1478" s="0" t="n">
        <f aca="false">$J$3*EXP(-$E$1*B1478*86.4/$G$1)</f>
        <v>15.4942235300244</v>
      </c>
      <c r="K1478" s="0" t="n">
        <f aca="false">J1477-J1478</f>
        <v>0.0438374171839726</v>
      </c>
    </row>
    <row r="1479" customFormat="false" ht="12.8" hidden="false" customHeight="false" outlineLevel="0" collapsed="false">
      <c r="A1479" s="0" t="n">
        <v>1</v>
      </c>
      <c r="B1479" s="0" t="n">
        <f aca="false">B1478+A1479</f>
        <v>1476</v>
      </c>
      <c r="C1479" s="0" t="n">
        <f aca="false">$C$3+($G$1/($E$1*86.4))*SINH($E$1*B1479*86.4/$G$1)</f>
        <v>56055.4902910983</v>
      </c>
      <c r="D1479" s="0" t="n">
        <f aca="false">C1479-$C$3-B1479</f>
        <v>9975.49029109829</v>
      </c>
      <c r="E1479" s="0" t="n">
        <f aca="false">$E$1*B1479*86.4</f>
        <v>1251033.984</v>
      </c>
      <c r="F1479" s="0" t="n">
        <f aca="false">$G$1*G1479</f>
        <v>299856.803232001</v>
      </c>
      <c r="G1479" s="0" t="n">
        <f aca="false">TANH($E$1*B1479*86.4/$G$1)</f>
        <v>0.999522677440003</v>
      </c>
      <c r="H1479" s="0" t="n">
        <f aca="false">COSH($E$1*B1479*86.4/$G$1)</f>
        <v>32.3691169994252</v>
      </c>
      <c r="I1479" s="0" t="n">
        <f aca="false">(($G$1^2*1000)/($E$1*$I$1))*(H1479-1)</f>
        <v>30.4192102374969</v>
      </c>
      <c r="J1479" s="0" t="n">
        <f aca="false">$J$3*EXP(-$E$1*B1479*86.4/$G$1)</f>
        <v>15.4505097910234</v>
      </c>
      <c r="K1479" s="0" t="n">
        <f aca="false">J1478-J1479</f>
        <v>0.0437137390009799</v>
      </c>
    </row>
    <row r="1480" customFormat="false" ht="12.8" hidden="false" customHeight="false" outlineLevel="0" collapsed="false">
      <c r="A1480" s="0" t="n">
        <v>1</v>
      </c>
      <c r="B1480" s="0" t="n">
        <f aca="false">B1479+A1480</f>
        <v>1477</v>
      </c>
      <c r="C1480" s="0" t="n">
        <f aca="false">$C$3+($G$1/($E$1*86.4))*SINH($E$1*B1480*86.4/$G$1)</f>
        <v>56087.9051552744</v>
      </c>
      <c r="D1480" s="0" t="n">
        <f aca="false">C1480-$C$3-B1480</f>
        <v>10006.9051552744</v>
      </c>
      <c r="E1480" s="0" t="n">
        <f aca="false">$E$1*B1480*86.4</f>
        <v>1251881.568</v>
      </c>
      <c r="F1480" s="0" t="n">
        <f aca="false">$G$1*G1480</f>
        <v>299857.609900696</v>
      </c>
      <c r="G1480" s="0" t="n">
        <f aca="false">TANH($E$1*B1480*86.4/$G$1)</f>
        <v>0.999525366335653</v>
      </c>
      <c r="H1480" s="0" t="n">
        <f aca="false">COSH($E$1*B1480*86.4/$G$1)</f>
        <v>32.4606544764749</v>
      </c>
      <c r="I1480" s="0" t="n">
        <f aca="false">(($G$1^2*1000)/($E$1*$I$1))*(H1480-1)</f>
        <v>30.5079758141319</v>
      </c>
      <c r="J1480" s="0" t="n">
        <f aca="false">$J$3*EXP(-$E$1*B1480*86.4/$G$1)</f>
        <v>15.4069193812731</v>
      </c>
      <c r="K1480" s="0" t="n">
        <f aca="false">J1479-J1480</f>
        <v>0.0435904097503119</v>
      </c>
    </row>
    <row r="1481" customFormat="false" ht="12.8" hidden="false" customHeight="false" outlineLevel="0" collapsed="false">
      <c r="A1481" s="0" t="n">
        <v>1</v>
      </c>
      <c r="B1481" s="0" t="n">
        <f aca="false">B1480+A1481</f>
        <v>1478</v>
      </c>
      <c r="C1481" s="0" t="n">
        <f aca="false">$C$3+($G$1/($E$1*86.4))*SINH($E$1*B1481*86.4/$G$1)</f>
        <v>56120.4116864205</v>
      </c>
      <c r="D1481" s="0" t="n">
        <f aca="false">C1481-$C$3-B1481</f>
        <v>10038.4116864205</v>
      </c>
      <c r="E1481" s="0" t="n">
        <f aca="false">$E$1*B1481*86.4</f>
        <v>1252729.152</v>
      </c>
      <c r="F1481" s="0" t="n">
        <f aca="false">$G$1*G1481</f>
        <v>299858.412026266</v>
      </c>
      <c r="G1481" s="0" t="n">
        <f aca="false">TANH($E$1*B1481*86.4/$G$1)</f>
        <v>0.999528040087554</v>
      </c>
      <c r="H1481" s="0" t="n">
        <f aca="false">COSH($E$1*B1481*86.4/$G$1)</f>
        <v>32.5524510613629</v>
      </c>
      <c r="I1481" s="0" t="n">
        <f aca="false">(($G$1^2*1000)/($E$1*$I$1))*(H1481-1)</f>
        <v>30.5969926524077</v>
      </c>
      <c r="J1481" s="0" t="n">
        <f aca="false">$J$3*EXP(-$E$1*B1481*86.4/$G$1)</f>
        <v>15.3634519528255</v>
      </c>
      <c r="K1481" s="0" t="n">
        <f aca="false">J1480-J1481</f>
        <v>0.0434674284475687</v>
      </c>
    </row>
    <row r="1482" customFormat="false" ht="12.8" hidden="false" customHeight="false" outlineLevel="0" collapsed="false">
      <c r="A1482" s="0" t="n">
        <v>1</v>
      </c>
      <c r="B1482" s="0" t="n">
        <f aca="false">B1481+A1482</f>
        <v>1479</v>
      </c>
      <c r="C1482" s="0" t="n">
        <f aca="false">$C$3+($G$1/($E$1*86.4))*SINH($E$1*B1482*86.4/$G$1)</f>
        <v>56153.0101440106</v>
      </c>
      <c r="D1482" s="0" t="n">
        <f aca="false">C1482-$C$3-B1482</f>
        <v>10070.0101440106</v>
      </c>
      <c r="E1482" s="0" t="n">
        <f aca="false">$E$1*B1482*86.4</f>
        <v>1253576.736</v>
      </c>
      <c r="F1482" s="0" t="n">
        <f aca="false">$G$1*G1482</f>
        <v>299859.209634286</v>
      </c>
      <c r="G1482" s="0" t="n">
        <f aca="false">TANH($E$1*B1482*86.4/$G$1)</f>
        <v>0.999530698780954</v>
      </c>
      <c r="H1482" s="0" t="n">
        <f aca="false">COSH($E$1*B1482*86.4/$G$1)</f>
        <v>32.6445074868291</v>
      </c>
      <c r="I1482" s="0" t="n">
        <f aca="false">(($G$1^2*1000)/($E$1*$I$1))*(H1482-1)</f>
        <v>30.6862614628756</v>
      </c>
      <c r="J1482" s="0" t="n">
        <f aca="false">$J$3*EXP(-$E$1*B1482*86.4/$G$1)</f>
        <v>15.3201071587144</v>
      </c>
      <c r="K1482" s="0" t="n">
        <f aca="false">J1481-J1482</f>
        <v>0.0433447941110767</v>
      </c>
    </row>
    <row r="1483" customFormat="false" ht="12.8" hidden="false" customHeight="false" outlineLevel="0" collapsed="false">
      <c r="A1483" s="0" t="n">
        <v>1</v>
      </c>
      <c r="B1483" s="0" t="n">
        <f aca="false">B1482+A1483</f>
        <v>1480</v>
      </c>
      <c r="C1483" s="0" t="n">
        <f aca="false">$C$3+($G$1/($E$1*86.4))*SINH($E$1*B1483*86.4/$G$1)</f>
        <v>56185.7007882526</v>
      </c>
      <c r="D1483" s="0" t="n">
        <f aca="false">C1483-$C$3-B1483</f>
        <v>10101.7007882526</v>
      </c>
      <c r="E1483" s="0" t="n">
        <f aca="false">$E$1*B1483*86.4</f>
        <v>1254424.32</v>
      </c>
      <c r="F1483" s="0" t="n">
        <f aca="false">$G$1*G1483</f>
        <v>299860.002750187</v>
      </c>
      <c r="G1483" s="0" t="n">
        <f aca="false">TANH($E$1*B1483*86.4/$G$1)</f>
        <v>0.999533342500623</v>
      </c>
      <c r="H1483" s="0" t="n">
        <f aca="false">COSH($E$1*B1483*86.4/$G$1)</f>
        <v>32.7368244876873</v>
      </c>
      <c r="I1483" s="0" t="n">
        <f aca="false">(($G$1^2*1000)/($E$1*$I$1))*(H1483-1)</f>
        <v>30.7757829580981</v>
      </c>
      <c r="J1483" s="0" t="n">
        <f aca="false">$J$3*EXP(-$E$1*B1483*86.4/$G$1)</f>
        <v>15.2768846529525</v>
      </c>
      <c r="K1483" s="0" t="n">
        <f aca="false">J1482-J1483</f>
        <v>0.043222505761916</v>
      </c>
    </row>
    <row r="1484" customFormat="false" ht="12.8" hidden="false" customHeight="false" outlineLevel="0" collapsed="false">
      <c r="A1484" s="0" t="n">
        <v>1</v>
      </c>
      <c r="B1484" s="0" t="n">
        <f aca="false">B1483+A1484</f>
        <v>1481</v>
      </c>
      <c r="C1484" s="0" t="n">
        <f aca="false">$C$3+($G$1/($E$1*86.4))*SINH($E$1*B1484*86.4/$G$1)</f>
        <v>56218.4838800901</v>
      </c>
      <c r="D1484" s="0" t="n">
        <f aca="false">C1484-$C$3-B1484</f>
        <v>10133.4838800901</v>
      </c>
      <c r="E1484" s="0" t="n">
        <f aca="false">$E$1*B1484*86.4</f>
        <v>1255271.904</v>
      </c>
      <c r="F1484" s="0" t="n">
        <f aca="false">$G$1*G1484</f>
        <v>299860.791399256</v>
      </c>
      <c r="G1484" s="0" t="n">
        <f aca="false">TANH($E$1*B1484*86.4/$G$1)</f>
        <v>0.999535971330854</v>
      </c>
      <c r="H1484" s="0" t="n">
        <f aca="false">COSH($E$1*B1484*86.4/$G$1)</f>
        <v>32.8294028008314</v>
      </c>
      <c r="I1484" s="0" t="n">
        <f aca="false">(($G$1^2*1000)/($E$1*$I$1))*(H1484-1)</f>
        <v>30.865557852655</v>
      </c>
      <c r="J1484" s="0" t="n">
        <f aca="false">$J$3*EXP(-$E$1*B1484*86.4/$G$1)</f>
        <v>15.2337840905285</v>
      </c>
      <c r="K1484" s="0" t="n">
        <f aca="false">J1483-J1484</f>
        <v>0.0431005624239909</v>
      </c>
    </row>
    <row r="1485" customFormat="false" ht="12.8" hidden="false" customHeight="false" outlineLevel="0" collapsed="false">
      <c r="A1485" s="0" t="n">
        <v>1</v>
      </c>
      <c r="B1485" s="0" t="n">
        <f aca="false">B1484+A1485</f>
        <v>1482</v>
      </c>
      <c r="C1485" s="0" t="n">
        <f aca="false">$C$3+($G$1/($E$1*86.4))*SINH($E$1*B1485*86.4/$G$1)</f>
        <v>56251.3596812047</v>
      </c>
      <c r="D1485" s="0" t="n">
        <f aca="false">C1485-$C$3-B1485</f>
        <v>10165.3596812047</v>
      </c>
      <c r="E1485" s="0" t="n">
        <f aca="false">$E$1*B1485*86.4</f>
        <v>1256119.488</v>
      </c>
      <c r="F1485" s="0" t="n">
        <f aca="false">$G$1*G1485</f>
        <v>299861.575606639</v>
      </c>
      <c r="G1485" s="0" t="n">
        <f aca="false">TANH($E$1*B1485*86.4/$G$1)</f>
        <v>0.999538585355464</v>
      </c>
      <c r="H1485" s="0" t="n">
        <f aca="false">COSH($E$1*B1485*86.4/$G$1)</f>
        <v>32.9222431652413</v>
      </c>
      <c r="I1485" s="0" t="n">
        <f aca="false">(($G$1^2*1000)/($E$1*$I$1))*(H1485-1)</f>
        <v>30.9555868631484</v>
      </c>
      <c r="J1485" s="0" t="n">
        <f aca="false">$J$3*EXP(-$E$1*B1485*86.4/$G$1)</f>
        <v>15.1908051274046</v>
      </c>
      <c r="K1485" s="0" t="n">
        <f aca="false">J1484-J1485</f>
        <v>0.0429789631239181</v>
      </c>
    </row>
    <row r="1486" customFormat="false" ht="12.8" hidden="false" customHeight="false" outlineLevel="0" collapsed="false">
      <c r="A1486" s="0" t="n">
        <v>1</v>
      </c>
      <c r="B1486" s="0" t="n">
        <f aca="false">B1485+A1486</f>
        <v>1483</v>
      </c>
      <c r="C1486" s="0" t="n">
        <f aca="false">$C$3+($G$1/($E$1*86.4))*SINH($E$1*B1486*86.4/$G$1)</f>
        <v>56284.328454018</v>
      </c>
      <c r="D1486" s="0" t="n">
        <f aca="false">C1486-$C$3-B1486</f>
        <v>10197.328454018</v>
      </c>
      <c r="E1486" s="0" t="n">
        <f aca="false">$E$1*B1486*86.4</f>
        <v>1256967.072</v>
      </c>
      <c r="F1486" s="0" t="n">
        <f aca="false">$G$1*G1486</f>
        <v>299862.355397341</v>
      </c>
      <c r="G1486" s="0" t="n">
        <f aca="false">TANH($E$1*B1486*86.4/$G$1)</f>
        <v>0.999541184657802</v>
      </c>
      <c r="H1486" s="0" t="n">
        <f aca="false">COSH($E$1*B1486*86.4/$G$1)</f>
        <v>33.0153463219884</v>
      </c>
      <c r="I1486" s="0" t="n">
        <f aca="false">(($G$1^2*1000)/($E$1*$I$1))*(H1486-1)</f>
        <v>31.0458707082091</v>
      </c>
      <c r="J1486" s="0" t="n">
        <f aca="false">$J$3*EXP(-$E$1*B1486*86.4/$G$1)</f>
        <v>15.1479474205136</v>
      </c>
      <c r="K1486" s="0" t="n">
        <f aca="false">J1485-J1486</f>
        <v>0.0428577068910325</v>
      </c>
    </row>
    <row r="1487" customFormat="false" ht="12.8" hidden="false" customHeight="false" outlineLevel="0" collapsed="false">
      <c r="A1487" s="0" t="n">
        <v>1</v>
      </c>
      <c r="B1487" s="0" t="n">
        <f aca="false">B1486+A1487</f>
        <v>1484</v>
      </c>
      <c r="C1487" s="0" t="n">
        <f aca="false">$C$3+($G$1/($E$1*86.4))*SINH($E$1*B1487*86.4/$G$1)</f>
        <v>56317.3904616938</v>
      </c>
      <c r="D1487" s="0" t="n">
        <f aca="false">C1487-$C$3-B1487</f>
        <v>10229.3904616938</v>
      </c>
      <c r="E1487" s="0" t="n">
        <f aca="false">$E$1*B1487*86.4</f>
        <v>1257814.656</v>
      </c>
      <c r="F1487" s="0" t="n">
        <f aca="false">$G$1*G1487</f>
        <v>299863.130796223</v>
      </c>
      <c r="G1487" s="0" t="n">
        <f aca="false">TANH($E$1*B1487*86.4/$G$1)</f>
        <v>0.999543769320745</v>
      </c>
      <c r="H1487" s="0" t="n">
        <f aca="false">COSH($E$1*B1487*86.4/$G$1)</f>
        <v>33.108713014242</v>
      </c>
      <c r="I1487" s="0" t="n">
        <f aca="false">(($G$1^2*1000)/($E$1*$I$1))*(H1487-1)</f>
        <v>31.1364101085018</v>
      </c>
      <c r="J1487" s="0" t="n">
        <f aca="false">$J$3*EXP(-$E$1*B1487*86.4/$G$1)</f>
        <v>15.1052106277561</v>
      </c>
      <c r="K1487" s="0" t="n">
        <f aca="false">J1486-J1487</f>
        <v>0.0427367927574931</v>
      </c>
    </row>
    <row r="1488" customFormat="false" ht="12.8" hidden="false" customHeight="false" outlineLevel="0" collapsed="false">
      <c r="A1488" s="0" t="n">
        <v>1</v>
      </c>
      <c r="B1488" s="0" t="n">
        <f aca="false">B1487+A1488</f>
        <v>1485</v>
      </c>
      <c r="C1488" s="0" t="n">
        <f aca="false">$C$3+($G$1/($E$1*86.4))*SINH($E$1*B1488*86.4/$G$1)</f>
        <v>56350.54596814</v>
      </c>
      <c r="D1488" s="0" t="n">
        <f aca="false">C1488-$C$3-B1488</f>
        <v>10261.54596814</v>
      </c>
      <c r="E1488" s="0" t="n">
        <f aca="false">$E$1*B1488*86.4</f>
        <v>1258662.24</v>
      </c>
      <c r="F1488" s="0" t="n">
        <f aca="false">$G$1*G1488</f>
        <v>299863.901828012</v>
      </c>
      <c r="G1488" s="0" t="n">
        <f aca="false">TANH($E$1*B1488*86.4/$G$1)</f>
        <v>0.999546339426705</v>
      </c>
      <c r="H1488" s="0" t="n">
        <f aca="false">COSH($E$1*B1488*86.4/$G$1)</f>
        <v>33.2023439872747</v>
      </c>
      <c r="I1488" s="0" t="n">
        <f aca="false">(($G$1^2*1000)/($E$1*$I$1))*(H1488-1)</f>
        <v>31.2272057867313</v>
      </c>
      <c r="J1488" s="0" t="n">
        <f aca="false">$J$3*EXP(-$E$1*B1488*86.4/$G$1)</f>
        <v>15.062594407998</v>
      </c>
      <c r="K1488" s="0" t="n">
        <f aca="false">J1487-J1488</f>
        <v>0.0426162197580826</v>
      </c>
    </row>
    <row r="1489" customFormat="false" ht="12.8" hidden="false" customHeight="false" outlineLevel="0" collapsed="false">
      <c r="A1489" s="0" t="n">
        <v>1</v>
      </c>
      <c r="B1489" s="0" t="n">
        <f aca="false">B1488+A1489</f>
        <v>1486</v>
      </c>
      <c r="C1489" s="0" t="n">
        <f aca="false">$C$3+($G$1/($E$1*86.4))*SINH($E$1*B1489*86.4/$G$1)</f>
        <v>56383.795238011</v>
      </c>
      <c r="D1489" s="0" t="n">
        <f aca="false">C1489-$C$3-B1489</f>
        <v>10293.795238011</v>
      </c>
      <c r="E1489" s="0" t="n">
        <f aca="false">$E$1*B1489*86.4</f>
        <v>1259509.824</v>
      </c>
      <c r="F1489" s="0" t="n">
        <f aca="false">$G$1*G1489</f>
        <v>299864.66851729</v>
      </c>
      <c r="G1489" s="0" t="n">
        <f aca="false">TANH($E$1*B1489*86.4/$G$1)</f>
        <v>0.999548895057632</v>
      </c>
      <c r="H1489" s="0" t="n">
        <f aca="false">COSH($E$1*B1489*86.4/$G$1)</f>
        <v>33.2962399884689</v>
      </c>
      <c r="I1489" s="0" t="n">
        <f aca="false">(($G$1^2*1000)/($E$1*$I$1))*(H1489-1)</f>
        <v>31.3182584676479</v>
      </c>
      <c r="J1489" s="0" t="n">
        <f aca="false">$J$3*EXP(-$E$1*B1489*86.4/$G$1)</f>
        <v>15.0200984210676</v>
      </c>
      <c r="K1489" s="0" t="n">
        <f aca="false">J1488-J1489</f>
        <v>0.0424959869304047</v>
      </c>
    </row>
    <row r="1490" customFormat="false" ht="12.8" hidden="false" customHeight="false" outlineLevel="0" collapsed="false">
      <c r="A1490" s="0" t="n">
        <v>1</v>
      </c>
      <c r="B1490" s="0" t="n">
        <f aca="false">B1489+A1490</f>
        <v>1487</v>
      </c>
      <c r="C1490" s="0" t="n">
        <f aca="false">$C$3+($G$1/($E$1*86.4))*SINH($E$1*B1490*86.4/$G$1)</f>
        <v>56417.1385367095</v>
      </c>
      <c r="D1490" s="0" t="n">
        <f aca="false">C1490-$C$3-B1490</f>
        <v>10326.1385367095</v>
      </c>
      <c r="E1490" s="0" t="n">
        <f aca="false">$E$1*B1490*86.4</f>
        <v>1260357.408</v>
      </c>
      <c r="F1490" s="0" t="n">
        <f aca="false">$G$1*G1490</f>
        <v>299865.430888504</v>
      </c>
      <c r="G1490" s="0" t="n">
        <f aca="false">TANH($E$1*B1490*86.4/$G$1)</f>
        <v>0.999551436295013</v>
      </c>
      <c r="H1490" s="0" t="n">
        <f aca="false">COSH($E$1*B1490*86.4/$G$1)</f>
        <v>33.3904017673224</v>
      </c>
      <c r="I1490" s="0" t="n">
        <f aca="false">(($G$1^2*1000)/($E$1*$I$1))*(H1490-1)</f>
        <v>31.4095688780536</v>
      </c>
      <c r="J1490" s="0" t="n">
        <f aca="false">$J$3*EXP(-$E$1*B1490*86.4/$G$1)</f>
        <v>14.9777223277529</v>
      </c>
      <c r="K1490" s="0" t="n">
        <f aca="false">J1489-J1490</f>
        <v>0.0423760933147292</v>
      </c>
    </row>
    <row r="1491" customFormat="false" ht="12.8" hidden="false" customHeight="false" outlineLevel="0" collapsed="false">
      <c r="A1491" s="0" t="n">
        <v>1</v>
      </c>
      <c r="B1491" s="0" t="n">
        <f aca="false">B1490+A1491</f>
        <v>1488</v>
      </c>
      <c r="C1491" s="0" t="n">
        <f aca="false">$C$3+($G$1/($E$1*86.4))*SINH($E$1*B1491*86.4/$G$1)</f>
        <v>56450.5761303887</v>
      </c>
      <c r="D1491" s="0" t="n">
        <f aca="false">C1491-$C$3-B1491</f>
        <v>10358.5761303887</v>
      </c>
      <c r="E1491" s="0" t="n">
        <f aca="false">$E$1*B1491*86.4</f>
        <v>1261204.992</v>
      </c>
      <c r="F1491" s="0" t="n">
        <f aca="false">$G$1*G1491</f>
        <v>299866.188965963</v>
      </c>
      <c r="G1491" s="0" t="n">
        <f aca="false">TANH($E$1*B1491*86.4/$G$1)</f>
        <v>0.999553963219878</v>
      </c>
      <c r="H1491" s="0" t="n">
        <f aca="false">COSH($E$1*B1491*86.4/$G$1)</f>
        <v>33.4848300754545</v>
      </c>
      <c r="I1491" s="0" t="n">
        <f aca="false">(($G$1^2*1000)/($E$1*$I$1))*(H1491-1)</f>
        <v>31.5011377468074</v>
      </c>
      <c r="J1491" s="0" t="n">
        <f aca="false">$J$3*EXP(-$E$1*B1491*86.4/$G$1)</f>
        <v>14.9354657897989</v>
      </c>
      <c r="K1491" s="0" t="n">
        <f aca="false">J1490-J1491</f>
        <v>0.0422565379539943</v>
      </c>
    </row>
    <row r="1492" customFormat="false" ht="12.8" hidden="false" customHeight="false" outlineLevel="0" collapsed="false">
      <c r="A1492" s="0" t="n">
        <v>1</v>
      </c>
      <c r="B1492" s="0" t="n">
        <f aca="false">B1491+A1492</f>
        <v>1489</v>
      </c>
      <c r="C1492" s="0" t="n">
        <f aca="false">$C$3+($G$1/($E$1*86.4))*SINH($E$1*B1492*86.4/$G$1)</f>
        <v>56484.1082859547</v>
      </c>
      <c r="D1492" s="0" t="n">
        <f aca="false">C1492-$C$3-B1492</f>
        <v>10391.1082859547</v>
      </c>
      <c r="E1492" s="0" t="n">
        <f aca="false">$E$1*B1492*86.4</f>
        <v>1262052.576</v>
      </c>
      <c r="F1492" s="0" t="n">
        <f aca="false">$G$1*G1492</f>
        <v>299866.94277384</v>
      </c>
      <c r="G1492" s="0" t="n">
        <f aca="false">TANH($E$1*B1492*86.4/$G$1)</f>
        <v>0.9995564759128</v>
      </c>
      <c r="H1492" s="0" t="n">
        <f aca="false">COSH($E$1*B1492*86.4/$G$1)</f>
        <v>33.5795256666121</v>
      </c>
      <c r="I1492" s="0" t="n">
        <f aca="false">(($G$1^2*1000)/($E$1*$I$1))*(H1492-1)</f>
        <v>31.5929658048315</v>
      </c>
      <c r="J1492" s="0" t="n">
        <f aca="false">$J$3*EXP(-$E$1*B1492*86.4/$G$1)</f>
        <v>14.8933284699049</v>
      </c>
      <c r="K1492" s="0" t="n">
        <f aca="false">J1491-J1492</f>
        <v>0.042137319893973</v>
      </c>
    </row>
    <row r="1493" customFormat="false" ht="12.8" hidden="false" customHeight="false" outlineLevel="0" collapsed="false">
      <c r="A1493" s="0" t="n">
        <v>1</v>
      </c>
      <c r="B1493" s="0" t="n">
        <f aca="false">B1492+A1493</f>
        <v>1490</v>
      </c>
      <c r="C1493" s="0" t="n">
        <f aca="false">$C$3+($G$1/($E$1*86.4))*SINH($E$1*B1493*86.4/$G$1)</f>
        <v>56517.7352710682</v>
      </c>
      <c r="D1493" s="0" t="n">
        <f aca="false">C1493-$C$3-B1493</f>
        <v>10423.7352710682</v>
      </c>
      <c r="E1493" s="0" t="n">
        <f aca="false">$E$1*B1493*86.4</f>
        <v>1262900.16</v>
      </c>
      <c r="F1493" s="0" t="n">
        <f aca="false">$G$1*G1493</f>
        <v>299867.69233617</v>
      </c>
      <c r="G1493" s="0" t="n">
        <f aca="false">TANH($E$1*B1493*86.4/$G$1)</f>
        <v>0.9995589744539</v>
      </c>
      <c r="H1493" s="0" t="n">
        <f aca="false">COSH($E$1*B1493*86.4/$G$1)</f>
        <v>33.6744892966754</v>
      </c>
      <c r="I1493" s="0" t="n">
        <f aca="false">(($G$1^2*1000)/($E$1*$I$1))*(H1493-1)</f>
        <v>31.6850537851168</v>
      </c>
      <c r="J1493" s="0" t="n">
        <f aca="false">$J$3*EXP(-$E$1*B1493*86.4/$G$1)</f>
        <v>14.851310031722</v>
      </c>
      <c r="K1493" s="0" t="n">
        <f aca="false">J1492-J1493</f>
        <v>0.0420184381829483</v>
      </c>
    </row>
    <row r="1494" customFormat="false" ht="12.8" hidden="false" customHeight="false" outlineLevel="0" collapsed="false">
      <c r="A1494" s="0" t="n">
        <v>1</v>
      </c>
      <c r="B1494" s="0" t="n">
        <f aca="false">B1493+A1494</f>
        <v>1491</v>
      </c>
      <c r="C1494" s="0" t="n">
        <f aca="false">$C$3+($G$1/($E$1*86.4))*SINH($E$1*B1494*86.4/$G$1)</f>
        <v>56551.457354147</v>
      </c>
      <c r="D1494" s="0" t="n">
        <f aca="false">C1494-$C$3-B1494</f>
        <v>10456.457354147</v>
      </c>
      <c r="E1494" s="0" t="n">
        <f aca="false">$E$1*B1494*86.4</f>
        <v>1263747.744</v>
      </c>
      <c r="F1494" s="0" t="n">
        <f aca="false">$G$1*G1494</f>
        <v>299868.437676854</v>
      </c>
      <c r="G1494" s="0" t="n">
        <f aca="false">TANH($E$1*B1494*86.4/$G$1)</f>
        <v>0.999561458922847</v>
      </c>
      <c r="H1494" s="0" t="n">
        <f aca="false">COSH($E$1*B1494*86.4/$G$1)</f>
        <v>33.7697217236644</v>
      </c>
      <c r="I1494" s="0" t="n">
        <f aca="false">(($G$1^2*1000)/($E$1*$I$1))*(H1494-1)</f>
        <v>31.7774024227293</v>
      </c>
      <c r="J1494" s="0" t="n">
        <f aca="false">$J$3*EXP(-$E$1*B1494*86.4/$G$1)</f>
        <v>14.8094101398499</v>
      </c>
      <c r="K1494" s="0" t="n">
        <f aca="false">J1493-J1494</f>
        <v>0.0418998918720472</v>
      </c>
    </row>
    <row r="1495" customFormat="false" ht="12.8" hidden="false" customHeight="false" outlineLevel="0" collapsed="false">
      <c r="A1495" s="0" t="n">
        <v>1</v>
      </c>
      <c r="B1495" s="0" t="n">
        <f aca="false">B1494+A1495</f>
        <v>1492</v>
      </c>
      <c r="C1495" s="0" t="n">
        <f aca="false">$C$3+($G$1/($E$1*86.4))*SINH($E$1*B1495*86.4/$G$1)</f>
        <v>56585.2748043679</v>
      </c>
      <c r="D1495" s="0" t="n">
        <f aca="false">C1495-$C$3-B1495</f>
        <v>10489.2748043679</v>
      </c>
      <c r="E1495" s="0" t="n">
        <f aca="false">$E$1*B1495*86.4</f>
        <v>1264595.328</v>
      </c>
      <c r="F1495" s="0" t="n">
        <f aca="false">$G$1*G1495</f>
        <v>299869.178819659</v>
      </c>
      <c r="G1495" s="0" t="n">
        <f aca="false">TANH($E$1*B1495*86.4/$G$1)</f>
        <v>0.999563929398864</v>
      </c>
      <c r="H1495" s="0" t="n">
        <f aca="false">COSH($E$1*B1495*86.4/$G$1)</f>
        <v>33.8652237077444</v>
      </c>
      <c r="I1495" s="0" t="n">
        <f aca="false">(($G$1^2*1000)/($E$1*$I$1))*(H1495-1)</f>
        <v>31.8700124548154</v>
      </c>
      <c r="J1495" s="0" t="n">
        <f aca="false">$J$3*EXP(-$E$1*B1495*86.4/$G$1)</f>
        <v>14.767628459835</v>
      </c>
      <c r="K1495" s="0" t="n">
        <f aca="false">J1494-J1495</f>
        <v>0.0417816800149566</v>
      </c>
    </row>
    <row r="1496" customFormat="false" ht="12.8" hidden="false" customHeight="false" outlineLevel="0" collapsed="false">
      <c r="A1496" s="0" t="n">
        <v>1</v>
      </c>
      <c r="B1496" s="0" t="n">
        <f aca="false">B1495+A1496</f>
        <v>1493</v>
      </c>
      <c r="C1496" s="0" t="n">
        <f aca="false">$C$3+($G$1/($E$1*86.4))*SINH($E$1*B1496*86.4/$G$1)</f>
        <v>56619.187891669</v>
      </c>
      <c r="D1496" s="0" t="n">
        <f aca="false">C1496-$C$3-B1496</f>
        <v>10522.187891669</v>
      </c>
      <c r="E1496" s="0" t="n">
        <f aca="false">$E$1*B1496*86.4</f>
        <v>1265442.912</v>
      </c>
      <c r="F1496" s="0" t="n">
        <f aca="false">$G$1*G1496</f>
        <v>299869.915788218</v>
      </c>
      <c r="G1496" s="0" t="n">
        <f aca="false">TANH($E$1*B1496*86.4/$G$1)</f>
        <v>0.999566385960727</v>
      </c>
      <c r="H1496" s="0" t="n">
        <f aca="false">COSH($E$1*B1496*86.4/$G$1)</f>
        <v>33.9609960112327</v>
      </c>
      <c r="I1496" s="0" t="n">
        <f aca="false">(($G$1^2*1000)/($E$1*$I$1))*(H1496-1)</f>
        <v>31.962884620608</v>
      </c>
      <c r="J1496" s="0" t="n">
        <f aca="false">$J$3*EXP(-$E$1*B1496*86.4/$G$1)</f>
        <v>14.7259646581668</v>
      </c>
      <c r="K1496" s="0" t="n">
        <f aca="false">J1495-J1496</f>
        <v>0.0416638016681219</v>
      </c>
    </row>
    <row r="1497" customFormat="false" ht="12.8" hidden="false" customHeight="false" outlineLevel="0" collapsed="false">
      <c r="A1497" s="0" t="n">
        <v>1</v>
      </c>
      <c r="B1497" s="0" t="n">
        <f aca="false">B1496+A1497</f>
        <v>1494</v>
      </c>
      <c r="C1497" s="0" t="n">
        <f aca="false">$C$3+($G$1/($E$1*86.4))*SINH($E$1*B1497*86.4/$G$1)</f>
        <v>56653.1968867517</v>
      </c>
      <c r="D1497" s="0" t="n">
        <f aca="false">C1497-$C$3-B1497</f>
        <v>10555.1968867517</v>
      </c>
      <c r="E1497" s="0" t="n">
        <f aca="false">$E$1*B1497*86.4</f>
        <v>1266290.496</v>
      </c>
      <c r="F1497" s="0" t="n">
        <f aca="false">$G$1*G1497</f>
        <v>299870.648606031</v>
      </c>
      <c r="G1497" s="0" t="n">
        <f aca="false">TANH($E$1*B1497*86.4/$G$1)</f>
        <v>0.999568828686768</v>
      </c>
      <c r="H1497" s="0" t="n">
        <f aca="false">COSH($E$1*B1497*86.4/$G$1)</f>
        <v>34.057039398604</v>
      </c>
      <c r="I1497" s="0" t="n">
        <f aca="false">(($G$1^2*1000)/($E$1*$I$1))*(H1497-1)</f>
        <v>32.0560196614325</v>
      </c>
      <c r="J1497" s="0" t="n">
        <f aca="false">$J$3*EXP(-$E$1*B1497*86.4/$G$1)</f>
        <v>14.6844184022762</v>
      </c>
      <c r="K1497" s="0" t="n">
        <f aca="false">J1496-J1497</f>
        <v>0.0415462558906157</v>
      </c>
    </row>
    <row r="1498" customFormat="false" ht="12.8" hidden="false" customHeight="false" outlineLevel="0" collapsed="false">
      <c r="A1498" s="0" t="n">
        <v>1</v>
      </c>
      <c r="B1498" s="0" t="n">
        <f aca="false">B1497+A1498</f>
        <v>1495</v>
      </c>
      <c r="C1498" s="0" t="n">
        <f aca="false">$C$3+($G$1/($E$1*86.4))*SINH($E$1*B1498*86.4/$G$1)</f>
        <v>56687.302061083</v>
      </c>
      <c r="D1498" s="0" t="n">
        <f aca="false">C1498-$C$3-B1498</f>
        <v>10588.302061083</v>
      </c>
      <c r="E1498" s="0" t="n">
        <f aca="false">$E$1*B1498*86.4</f>
        <v>1267138.08</v>
      </c>
      <c r="F1498" s="0" t="n">
        <f aca="false">$G$1*G1498</f>
        <v>299871.377296464</v>
      </c>
      <c r="G1498" s="0" t="n">
        <f aca="false">TANH($E$1*B1498*86.4/$G$1)</f>
        <v>0.999571257654881</v>
      </c>
      <c r="H1498" s="0" t="n">
        <f aca="false">COSH($E$1*B1498*86.4/$G$1)</f>
        <v>34.1533546364971</v>
      </c>
      <c r="I1498" s="0" t="n">
        <f aca="false">(($G$1^2*1000)/($E$1*$I$1))*(H1498-1)</f>
        <v>32.1494183207125</v>
      </c>
      <c r="J1498" s="0" t="n">
        <f aca="false">$J$3*EXP(-$E$1*B1498*86.4/$G$1)</f>
        <v>14.6429893605321</v>
      </c>
      <c r="K1498" s="0" t="n">
        <f aca="false">J1497-J1498</f>
        <v>0.0414290417441201</v>
      </c>
    </row>
    <row r="1499" customFormat="false" ht="12.8" hidden="false" customHeight="false" outlineLevel="0" collapsed="false">
      <c r="A1499" s="0" t="n">
        <v>1</v>
      </c>
      <c r="B1499" s="0" t="n">
        <f aca="false">B1498+A1499</f>
        <v>1496</v>
      </c>
      <c r="C1499" s="0" t="n">
        <f aca="false">$C$3+($G$1/($E$1*86.4))*SINH($E$1*B1499*86.4/$G$1)</f>
        <v>56721.5036868977</v>
      </c>
      <c r="D1499" s="0" t="n">
        <f aca="false">C1499-$C$3-B1499</f>
        <v>10621.5036868977</v>
      </c>
      <c r="E1499" s="0" t="n">
        <f aca="false">$E$1*B1499*86.4</f>
        <v>1267985.664</v>
      </c>
      <c r="F1499" s="0" t="n">
        <f aca="false">$G$1*G1499</f>
        <v>299872.101882756</v>
      </c>
      <c r="G1499" s="0" t="n">
        <f aca="false">TANH($E$1*B1499*86.4/$G$1)</f>
        <v>0.999573672942519</v>
      </c>
      <c r="H1499" s="0" t="n">
        <f aca="false">COSH($E$1*B1499*86.4/$G$1)</f>
        <v>34.2499424937207</v>
      </c>
      <c r="I1499" s="0" t="n">
        <f aca="false">(($G$1^2*1000)/($E$1*$I$1))*(H1499-1)</f>
        <v>32.243081343976</v>
      </c>
      <c r="J1499" s="0" t="n">
        <f aca="false">$J$3*EXP(-$E$1*B1499*86.4/$G$1)</f>
        <v>14.601677202239</v>
      </c>
      <c r="K1499" s="0" t="n">
        <f aca="false">J1498-J1499</f>
        <v>0.0413121582930494</v>
      </c>
    </row>
    <row r="1500" customFormat="false" ht="12.8" hidden="false" customHeight="false" outlineLevel="0" collapsed="false">
      <c r="A1500" s="0" t="n">
        <v>1</v>
      </c>
      <c r="B1500" s="0" t="n">
        <f aca="false">B1499+A1500</f>
        <v>1497</v>
      </c>
      <c r="C1500" s="0" t="n">
        <f aca="false">$C$3+($G$1/($E$1*86.4))*SINH($E$1*B1500*86.4/$G$1)</f>
        <v>56755.8020372005</v>
      </c>
      <c r="D1500" s="0" t="n">
        <f aca="false">C1500-$C$3-B1500</f>
        <v>10654.8020372005</v>
      </c>
      <c r="E1500" s="0" t="n">
        <f aca="false">$E$1*B1500*86.4</f>
        <v>1268833.248</v>
      </c>
      <c r="F1500" s="0" t="n">
        <f aca="false">$G$1*G1500</f>
        <v>299872.82238801</v>
      </c>
      <c r="G1500" s="0" t="n">
        <f aca="false">TANH($E$1*B1500*86.4/$G$1)</f>
        <v>0.999576074626701</v>
      </c>
      <c r="H1500" s="0" t="n">
        <f aca="false">COSH($E$1*B1500*86.4/$G$1)</f>
        <v>34.3468037412595</v>
      </c>
      <c r="I1500" s="0" t="n">
        <f aca="false">(($G$1^2*1000)/($E$1*$I$1))*(H1500-1)</f>
        <v>32.3370094788612</v>
      </c>
      <c r="J1500" s="0" t="n">
        <f aca="false">$J$3*EXP(-$E$1*B1500*86.4/$G$1)</f>
        <v>14.5604815976346</v>
      </c>
      <c r="K1500" s="0" t="n">
        <f aca="false">J1499-J1500</f>
        <v>0.0411956046044111</v>
      </c>
    </row>
    <row r="1501" customFormat="false" ht="12.8" hidden="false" customHeight="false" outlineLevel="0" collapsed="false">
      <c r="A1501" s="0" t="n">
        <v>1</v>
      </c>
      <c r="B1501" s="0" t="n">
        <f aca="false">B1500+A1501</f>
        <v>1498</v>
      </c>
      <c r="C1501" s="0" t="n">
        <f aca="false">$C$3+($G$1/($E$1*86.4))*SINH($E$1*B1501*86.4/$G$1)</f>
        <v>56790.1973857681</v>
      </c>
      <c r="D1501" s="0" t="n">
        <f aca="false">C1501-$C$3-B1501</f>
        <v>10688.1973857681</v>
      </c>
      <c r="E1501" s="0" t="n">
        <f aca="false">$E$1*B1501*86.4</f>
        <v>1269680.832</v>
      </c>
      <c r="F1501" s="0" t="n">
        <f aca="false">$G$1*G1501</f>
        <v>299873.538835204</v>
      </c>
      <c r="G1501" s="0" t="n">
        <f aca="false">TANH($E$1*B1501*86.4/$G$1)</f>
        <v>0.999578462784013</v>
      </c>
      <c r="H1501" s="0" t="n">
        <f aca="false">COSH($E$1*B1501*86.4/$G$1)</f>
        <v>34.4439391522807</v>
      </c>
      <c r="I1501" s="0" t="n">
        <f aca="false">(($G$1^2*1000)/($E$1*$I$1))*(H1501-1)</f>
        <v>32.4312034751223</v>
      </c>
      <c r="J1501" s="0" t="n">
        <f aca="false">$J$3*EXP(-$E$1*B1501*86.4/$G$1)</f>
        <v>14.5194022178868</v>
      </c>
      <c r="K1501" s="0" t="n">
        <f aca="false">J1500-J1501</f>
        <v>0.0410793797478153</v>
      </c>
    </row>
    <row r="1502" customFormat="false" ht="12.8" hidden="false" customHeight="false" outlineLevel="0" collapsed="false">
      <c r="A1502" s="0" t="n">
        <v>1</v>
      </c>
      <c r="B1502" s="0" t="n">
        <f aca="false">B1501+A1502</f>
        <v>1499</v>
      </c>
      <c r="C1502" s="0" t="n">
        <f aca="false">$C$3+($G$1/($E$1*86.4))*SINH($E$1*B1502*86.4/$G$1)</f>
        <v>56824.6900071513</v>
      </c>
      <c r="D1502" s="0" t="n">
        <f aca="false">C1502-$C$3-B1502</f>
        <v>10721.6900071513</v>
      </c>
      <c r="E1502" s="0" t="n">
        <f aca="false">$E$1*B1502*86.4</f>
        <v>1270528.416</v>
      </c>
      <c r="F1502" s="0" t="n">
        <f aca="false">$G$1*G1502</f>
        <v>299874.251247183</v>
      </c>
      <c r="G1502" s="0" t="n">
        <f aca="false">TANH($E$1*B1502*86.4/$G$1)</f>
        <v>0.999580837490608</v>
      </c>
      <c r="H1502" s="0" t="n">
        <f aca="false">COSH($E$1*B1502*86.4/$G$1)</f>
        <v>34.5413495021396</v>
      </c>
      <c r="I1502" s="0" t="n">
        <f aca="false">(($G$1^2*1000)/($E$1*$I$1))*(H1502-1)</f>
        <v>32.5256640846359</v>
      </c>
      <c r="J1502" s="0" t="n">
        <f aca="false">$J$3*EXP(-$E$1*B1502*86.4/$G$1)</f>
        <v>14.4784387350912</v>
      </c>
      <c r="K1502" s="0" t="n">
        <f aca="false">J1501-J1502</f>
        <v>0.0409634827955756</v>
      </c>
    </row>
    <row r="1503" customFormat="false" ht="12.8" hidden="false" customHeight="false" outlineLevel="0" collapsed="false">
      <c r="A1503" s="0" t="n">
        <v>1</v>
      </c>
      <c r="B1503" s="0" t="n">
        <f aca="false">B1502+A1503</f>
        <v>1500</v>
      </c>
      <c r="C1503" s="0" t="n">
        <f aca="false">$C$3+($G$1/($E$1*86.4))*SINH($E$1*B1503*86.4/$G$1)</f>
        <v>56859.2801766778</v>
      </c>
      <c r="D1503" s="0" t="n">
        <f aca="false">C1503-$C$3-B1503</f>
        <v>10755.2801766778</v>
      </c>
      <c r="E1503" s="0" t="n">
        <f aca="false">$E$1*B1503*86.4</f>
        <v>1271376</v>
      </c>
      <c r="F1503" s="0" t="n">
        <f aca="false">$G$1*G1503</f>
        <v>299874.959646664</v>
      </c>
      <c r="G1503" s="0" t="n">
        <f aca="false">TANH($E$1*B1503*86.4/$G$1)</f>
        <v>0.999583198822214</v>
      </c>
      <c r="H1503" s="0" t="n">
        <f aca="false">COSH($E$1*B1503*86.4/$G$1)</f>
        <v>34.6390355683864</v>
      </c>
      <c r="I1503" s="0" t="n">
        <f aca="false">(($G$1^2*1000)/($E$1*$I$1))*(H1503-1)</f>
        <v>32.6203920614065</v>
      </c>
      <c r="J1503" s="0" t="n">
        <f aca="false">$J$3*EXP(-$E$1*B1503*86.4/$G$1)</f>
        <v>14.4375908222687</v>
      </c>
      <c r="K1503" s="0" t="n">
        <f aca="false">J1502-J1503</f>
        <v>0.040847912822521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fr-CH</dc:language>
  <cp:lastModifiedBy/>
  <cp:revision>0</cp:revision>
  <dc:subject/>
  <dc:title/>
</cp:coreProperties>
</file>